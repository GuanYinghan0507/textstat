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56\textstat-course\assignment\module1\test_cases\"/>
    </mc:Choice>
  </mc:AlternateContent>
  <bookViews>
    <workbookView windowWidth="20752" windowHeight="9555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<sst xmlns="http://schemas.openxmlformats.org/spreadsheetml/2006/main" count="402" uniqueCount="249">
  <si>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</si>
  <si>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</si>
  <si>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</si>
  <si>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>textstat 0.7.7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</si>
  <si>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</si>
  <si>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>内部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</si>
  <si>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</si>
  <si>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>textstat 软件测试与质量保证实践（模块一）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</si>
  <si>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</si>
  <si>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TEXTSTAT-M1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</si>
  <si>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</si>
  <si>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t>管映涵</t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</si>
  <si>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</si>
  <si>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>2026.09.10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</si>
  <si>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</si>
  <si>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</si>
  <si>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</si>
  <si>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</si>
  <si>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本表为 textstat 0.7.7 计数与预处理功能的测试用例清单，共 24 条，覆盖等价类划分、边界值分析与场景法三种方法，被测函数为 char_count、letter_count、lexicon_count、sentence_count、syllable_count、difficult_words、long_word_count、monosyllabcount 与 polysyllabcount。首轮执行 24 条用例发现 3 个有效缺陷（A1 音节统计 KeyError、A2 字母数计入数字与下划线、A3 短句被忽略），修复后回归 24 条全部通过，详见附录2 与附录3。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</si>
  <si>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</si>
  <si>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</si>
  <si>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</si>
  <si>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</si>
  <si>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</si>
  <si>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</si>
  <si>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2026.09.09</t>
  </si>
  <si>
    <t>1.00</t>
  </si>
  <si>
    <t>-</t>
  </si>
  <si>
    <t>initial 初稿完成：编制计数与预处理功能测试用例 32 条，覆盖 9 个计数函数，采用等价类划分、边界值分析与场景法三种设计方法。</t>
  </si>
  <si>
    <t>1.01</t>
  </si>
  <si>
    <t>revised 精简用例：删除 2 条与其他函数重复的空字符串用例（monosyllabcount、polysyllabcount），合并 7 组重复输入用例（char_count 的 ignore_spaces 两分支、letter_count 数字与下划线、lexicon_count 标点处理、sentence_count 短句文本、syllable_count 常规与空串、difficult_words 的 unique 开关、long_word_count 阈值 6 与 5），用例数由 32 条缩减为 24 条。</t>
  </si>
  <si>
    <t>1.02</t>
  </si>
  <si>
    <t>revised 保留与补充：保留全部与缺陷相关的用例（TC-A-005、TC-A-011、TC-A-013、TC-A-014、TC-A-017、TC-A-021、TC-A-023），其中 TC-A-014、TC-A-017、TC-A-023 采用常规文本与未收录词文本对照的方式设计；新增 difficult_words 音节阈值边界用例 TC-A-024；填入首轮实测结果（OK 17 条、POK 3 条、NG 4 条）并与 pytest 脚本编号一一对应，缺陷 A1 至 A3 修复后回归 24 条全部通过。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</si>
  <si>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</si>
  <si>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</si>
  <si>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</si>
  <si>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</si>
  <si>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武剑洁（任课教师）</t>
  </si>
  <si>
    <r>
      <t>管映涵（组长，成员</t>
    </r>
    <r>
      <rPr>
        <sz val="12"/>
        <rFont val="Times New Roman"/>
        <charset val="134"/>
      </rPr>
      <t xml:space="preserve"> A</t>
    </r>
    <r>
      <rPr>
        <sz val="12"/>
        <rFont val="宋体"/>
        <charset val="134"/>
      </rPr>
      <t>）</t>
    </r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</si>
  <si>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</si>
  <si>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</si>
  <si>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</si>
  <si>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</si>
  <si>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</si>
  <si>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</si>
  <si>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</si>
  <si>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</si>
  <si>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</si>
  <si>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</si>
  <si>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00"/>
        <color rgb="FF000000"/>
        <rFont val="宋体"/>
        <charset val="134"/>
      </rPr>
      <t xml:space="preserve">Test Case ID </t>
    </r>
    <r>
      <rPr>
        <b/>
        <sz val="1200"/>
        <color rgb="FF000000"/>
        <rFont val="宋体"/>
        <charset val="134"/>
      </rPr>
      <t>测试用例编号</t>
    </r>
  </si>
  <si>
    <r>
      <rPr>
        <b/>
        <sz val="1200"/>
        <color rgb="FF000000"/>
        <rFont val="宋体"/>
        <charset val="134"/>
      </rPr>
      <t xml:space="preserve">Test Item </t>
    </r>
    <r>
      <rPr>
        <b/>
        <sz val="1200"/>
        <color rgb="FF000000"/>
        <rFont val="宋体"/>
        <charset val="134"/>
      </rPr>
      <t>测试项（即功能模块或函数）</t>
    </r>
  </si>
  <si>
    <r>
      <rPr>
        <b/>
        <sz val="1200"/>
        <color rgb="FF000000"/>
        <rFont val="宋体"/>
        <charset val="134"/>
      </rPr>
      <t xml:space="preserve">Test Case Title </t>
    </r>
    <r>
      <rPr>
        <b/>
        <sz val="1200"/>
        <color rgb="FF000000"/>
        <rFont val="宋体"/>
        <charset val="134"/>
      </rPr>
      <t>测试用例标题</t>
    </r>
  </si>
  <si>
    <r>
      <rPr>
        <b/>
        <sz val="1200"/>
        <color rgb="FF000000"/>
        <rFont val="宋体"/>
        <charset val="134"/>
      </rPr>
      <t>Test Criticality</t>
    </r>
    <r>
      <rPr>
        <b/>
        <sz val="1200"/>
        <color rgb="FF000000"/>
        <rFont val="宋体"/>
        <charset val="134"/>
      </rPr>
      <t>重要级别</t>
    </r>
  </si>
  <si>
    <t>是否自动用例</t>
  </si>
  <si>
    <t>是否新增修改用例</t>
  </si>
  <si>
    <r>
      <rPr>
        <b/>
        <sz val="1200"/>
        <color rgb="FF000000"/>
        <rFont val="宋体"/>
        <charset val="134"/>
      </rPr>
      <t xml:space="preserve">Pre-condition </t>
    </r>
    <r>
      <rPr>
        <b/>
        <sz val="1200"/>
        <color rgb="FF000000"/>
        <rFont val="宋体"/>
        <charset val="134"/>
      </rPr>
      <t>预置条件</t>
    </r>
  </si>
  <si>
    <r>
      <rPr>
        <b/>
        <sz val="1200"/>
        <color rgb="FF000000"/>
        <rFont val="宋体"/>
        <charset val="134"/>
      </rPr>
      <t xml:space="preserve">Input </t>
    </r>
    <r>
      <rPr>
        <b/>
        <sz val="1200"/>
        <color rgb="FF000000"/>
        <rFont val="宋体"/>
        <charset val="134"/>
      </rPr>
      <t>输入</t>
    </r>
  </si>
  <si>
    <r>
      <rPr>
        <b/>
        <sz val="1200"/>
        <color rgb="FF000000"/>
        <rFont val="宋体"/>
        <charset val="134"/>
      </rPr>
      <t xml:space="preserve">Procedure </t>
    </r>
    <r>
      <rPr>
        <b/>
        <sz val="1200"/>
        <color rgb="FF000000"/>
        <rFont val="宋体"/>
        <charset val="134"/>
      </rPr>
      <t>操作步骤</t>
    </r>
  </si>
  <si>
    <r>
      <rPr>
        <b/>
        <sz val="1200"/>
        <color rgb="FF000000"/>
        <rFont val="宋体"/>
        <charset val="134"/>
      </rPr>
      <t xml:space="preserve">Output </t>
    </r>
    <r>
      <rPr>
        <b/>
        <sz val="1200"/>
        <color rgb="FF000000"/>
        <rFont val="宋体"/>
        <charset val="134"/>
      </rPr>
      <t>预期结果</t>
    </r>
  </si>
  <si>
    <r>
      <rPr>
        <b/>
        <sz val="1200"/>
        <color rgb="FF000000"/>
        <rFont val="宋体"/>
        <charset val="134"/>
      </rPr>
      <t xml:space="preserve">Result
</t>
    </r>
    <r>
      <rPr>
        <b/>
        <sz val="1200"/>
        <color rgb="FF000000"/>
        <rFont val="宋体"/>
        <charset val="134"/>
      </rPr>
      <t>实际结果</t>
    </r>
  </si>
  <si>
    <r>
      <rPr>
        <b/>
        <sz val="1200"/>
        <color rgb="FF000000"/>
        <rFont val="宋体"/>
        <charset val="134"/>
      </rPr>
      <t xml:space="preserve">Status
</t>
    </r>
    <r>
      <rPr>
        <b/>
        <sz val="1200"/>
        <color rgb="FF000000"/>
        <rFont val="宋体"/>
        <charset val="134"/>
      </rPr>
      <t>是否通过</t>
    </r>
  </si>
  <si>
    <r>
      <rPr>
        <b/>
        <sz val="1200"/>
        <color rgb="FF000000"/>
        <rFont val="宋体"/>
        <charset val="134"/>
      </rPr>
      <t xml:space="preserve">Remark </t>
    </r>
    <r>
      <rPr>
        <b/>
        <sz val="1200"/>
        <color rgb="FF000000"/>
        <rFont val="宋体"/>
        <charset val="134"/>
      </rPr>
      <t>备注</t>
    </r>
    <r>
      <rPr>
        <b/>
        <sz val="1200"/>
        <color indexed="10"/>
        <rFont val="宋体"/>
        <charset val="134"/>
      </rPr>
      <t>（在此描述使用的测试方法）</t>
    </r>
  </si>
  <si>
    <t>TC-A-001</t>
  </si>
  <si>
    <t>计数功能 / char_count</t>
  </si>
  <si>
    <t>常规英文句子的字符数（忽略空格与统计空格）</t>
  </si>
  <si>
    <t>中</t>
  </si>
  <si>
    <t>是</t>
  </si>
  <si>
    <t>环境已按 assignment/module1/docs/environment.md 安装：Python 3.11.4、textstat 0.7.7（tag 0.7.7）、cmudict、pyphen；语言取默认值 en_US。</t>
  </si>
  <si>
    <t>TA = "The quick brown fox jumps over the lazy dog."</t>
  </si>
  <si>
    <t>分别调用 textstat.char_count(TA) 与 textstat.char_count(TA, ignore_spaces=False)，记录两个返回值。</t>
  </si>
  <si>
    <t>36（35 个字母 + 1 个句点，去掉 8 个空格）与 44（含 8 个空格）</t>
  </si>
  <si>
    <t>36；44</t>
  </si>
  <si>
    <t>OK</t>
  </si>
  <si>
    <t>等价类划分：合法英文文本 + ignore_spaces 两个参数分支</t>
  </si>
  <si>
    <t>TC-A-002</t>
  </si>
  <si>
    <t>空字符串与纯空白文本的字符数</t>
  </si>
  <si>
    <t>低</t>
  </si>
  <si>
    <t>""（空字符串）；"   "（3 个空格）</t>
  </si>
  <si>
    <t>依次调用 char_count("")、char_count("   ")、char_count("   ", ignore_spaces=False)，记录返回值。</t>
  </si>
  <si>
    <t>依次为 0、0、3</t>
  </si>
  <si>
    <t>0；0；3</t>
  </si>
  <si>
    <t>边界值分析：空字符串与纯空白（最小输入）</t>
  </si>
  <si>
    <t>POK</t>
  </si>
  <si>
    <t>TC-A-003</t>
  </si>
  <si>
    <t>计数功能 / letter_count</t>
  </si>
  <si>
    <t>常规英文句子的字母数</t>
  </si>
  <si>
    <t>TD = "They're here, and they're there."</t>
  </si>
  <si>
    <t>调用 textstat.letter_count(TD)，记录返回值。</t>
  </si>
  <si>
    <t>24（They're 6 + here 4 + and 3 + they're 6 + there 5）</t>
  </si>
  <si>
    <t>24</t>
  </si>
  <si>
    <t>等价类划分：合法英文文本（含收缩词与标点）</t>
  </si>
  <si>
    <t>NG</t>
  </si>
  <si>
    <t>TC-A-004</t>
  </si>
  <si>
    <t>空字符串的字母数</t>
  </si>
  <si>
    <t>""（空字符串）</t>
  </si>
  <si>
    <t>调用 textstat.letter_count("")，记录返回值。</t>
  </si>
  <si>
    <t>0</t>
  </si>
  <si>
    <t>边界值分析：空字符串（最小输入）</t>
  </si>
  <si>
    <t>NT</t>
  </si>
  <si>
    <t>TC-A-005</t>
  </si>
  <si>
    <t>数字与下划线混排文本的字母数</t>
  </si>
  <si>
    <t>高</t>
  </si>
  <si>
    <t>TE = "3 apples"；TF = "hello_world"</t>
  </si>
  <si>
    <t>分别调用 textstat.letter_count(TE) 与 textstat.letter_count(TF)，记录返回值。</t>
  </si>
  <si>
    <t>6（只统计字母：apples 为 6 个字母，数字 3 不是字母）与 10（hello 5 + world 5，下划线不是字母）</t>
  </si>
  <si>
    <t>7；11</t>
  </si>
  <si>
    <t>等价类划分：非字母字符与字母混排（缺陷 A2）</t>
  </si>
  <si>
    <t>TC-A-006</t>
  </si>
  <si>
    <t>计数功能 / lexicon_count</t>
  </si>
  <si>
    <t>常规英文句子的词数</t>
  </si>
  <si>
    <t>调用 textstat.lexicon_count(TD)，记录返回值。</t>
  </si>
  <si>
    <t>5（They're / here / and / they're / there，收缩词按一个词计）</t>
  </si>
  <si>
    <t>5</t>
  </si>
  <si>
    <t>等价类划分：合法英文文本 + 默认参数</t>
  </si>
  <si>
    <t>TC-A-007</t>
  </si>
  <si>
    <t>拆分收缩词后的词数</t>
  </si>
  <si>
    <t>TD = "They're here, and they're there."，split_contractions=True</t>
  </si>
  <si>
    <t>调用 textstat.lexicon_count(TD, split_contractions=True)，记录返回值。</t>
  </si>
  <si>
    <t>7（两个 they're 各拆为 they 与 re，5 + 2 = 7）</t>
  </si>
  <si>
    <t>7</t>
  </si>
  <si>
    <t>等价类划分：split_contractions 取 True 的参数分支</t>
  </si>
  <si>
    <t>TC-A-008</t>
  </si>
  <si>
    <t>纯标点与保留标点文本的词数</t>
  </si>
  <si>
    <t>"!!!"；"hello ... world"（removepunct=False）</t>
  </si>
  <si>
    <t>分别调用 textstat.lexicon_count("!!!") 与 textstat.lexicon_count("hello ... world", removepunct=False)，记录返回值。</t>
  </si>
  <si>
    <t>0（removepunct 默认 True，纯标点不产生单词）与 3（保留标点时省略号被当作一个词）</t>
  </si>
  <si>
    <t>0；3</t>
  </si>
  <si>
    <t>边界值分析：无单词的纯标点文本 + removepunct=False 分支</t>
  </si>
  <si>
    <t>TC-A-009</t>
  </si>
  <si>
    <t>计数功能 / sentence_count</t>
  </si>
  <si>
    <t>多句英文文本的句子数</t>
  </si>
  <si>
    <t>TK = "The sun rises in the east. Birds fly south in winter. Children play outside after school."</t>
  </si>
  <si>
    <t>调用 textstat.sentence_count(TK)，记录返回值。</t>
  </si>
  <si>
    <t>3（三个句末句点各对应一句）</t>
  </si>
  <si>
    <t>3</t>
  </si>
  <si>
    <t>等价类划分：含多个完整句子的文本</t>
  </si>
  <si>
    <t>TC-A-010</t>
  </si>
  <si>
    <t>空字符串与无终止标点文本的句子数</t>
  </si>
  <si>
    <t>""；"Hello world"（无句末标点）</t>
  </si>
  <si>
    <t>分别调用 textstat.sentence_count("") 与 textstat.sentence_count("Hello world")，记录返回值。</t>
  </si>
  <si>
    <t>0 与 1（无终止标点的完整句子仍计 1 句）</t>
  </si>
  <si>
    <t>0；1</t>
  </si>
  <si>
    <t>边界值分析：空字符串与无终止标点文本</t>
  </si>
  <si>
    <t>TC-A-011</t>
  </si>
  <si>
    <t>短句文本的句子数</t>
  </si>
  <si>
    <t>TI = "Hello. World."；TJ = "One. Two. Three. Four. Five."</t>
  </si>
  <si>
    <t>分别调用 textstat.sentence_count(TI) 与 textstat.sentence_count(TJ)，记录返回值。</t>
  </si>
  <si>
    <t>2（Hello. 与 World. 各一句）与 5（五个句末句点各一句）</t>
  </si>
  <si>
    <t>1；1</t>
  </si>
  <si>
    <t>等价类划分：由短句组成的文本（缺陷 A3）</t>
  </si>
  <si>
    <t>TC-A-012</t>
  </si>
  <si>
    <t>计数功能 / syllable_count</t>
  </si>
  <si>
    <t>常规文本与空字符串的音节数</t>
  </si>
  <si>
    <t>TA = "The quick brown fox jumps over the lazy dog."；""</t>
  </si>
  <si>
    <t>分别调用 textstat.syllable_count(TA) 与 textstat.syllable_count("")，记录返回值。</t>
  </si>
  <si>
    <t>11（逐词查 cmudict 音素并统计带重音的音素个数）与 0</t>
  </si>
  <si>
    <t>11；0</t>
  </si>
  <si>
    <t>等价类划分：词均在 cmudict 中的英文文本 + 空字符串边界</t>
  </si>
  <si>
    <t>TC-A-013</t>
  </si>
  <si>
    <t>含数字词文本的音节数</t>
  </si>
  <si>
    <t>环境已按 assignment/module1/docs/environment.md 安装：Python 3.11.4、textstat 0.7.7（tag 0.7.7）、cmudict、pyphen；语言取默认值 en_US。 已确认 2024 与 interoperability 均不在 cmudict 词典中。</t>
  </si>
  <si>
    <t>TL = "In 2024 we win."</t>
  </si>
  <si>
    <t>调用 textstat.syllable_count(TL)，记录返回值。</t>
  </si>
  <si>
    <t>4（数字词 2024 不在 cmudict 中，应回退 pyphen 断词法，不应抛出异常）</t>
  </si>
  <si>
    <t>抛出 KeyError: '2024'</t>
  </si>
  <si>
    <t>场景法：分词 → cmudict 查询 → 未命中回退 pyphen（缺陷 A1）</t>
  </si>
  <si>
    <t>TC-A-014</t>
  </si>
  <si>
    <t>常规文本与含未收录词文本的音节数</t>
  </si>
  <si>
    <t>TA = "The quick brown fox jumps over the lazy dog."；TM = "The interoperability of systems matters."</t>
  </si>
  <si>
    <t>分别调用 textstat.syllable_count(TA) 与 textstat.syllable_count(TM)，记录两个返回值。</t>
  </si>
  <si>
    <t>11（常规文本）与 13（interoperability 回退 pyphen 后的音节数）</t>
  </si>
  <si>
    <t>11；抛出 KeyError: 'interoperability'</t>
  </si>
  <si>
    <t>场景法：同一用例覆盖常规输入与未收录词输入（缺陷 A1）</t>
  </si>
  <si>
    <t>TC-A-015</t>
  </si>
  <si>
    <t>计数功能 / difficult_words</t>
  </si>
  <si>
    <t>全为易词文本的困难词数</t>
  </si>
  <si>
    <t>TO = "The dog is in the park."</t>
  </si>
  <si>
    <t>调用 textstat.difficult_words(TO)，记录返回值。</t>
  </si>
  <si>
    <t>0（各词均在 Dale-Chall 易词表中）</t>
  </si>
  <si>
    <t>等价类划分：全部为易词的文本</t>
  </si>
  <si>
    <t>TC-A-016</t>
  </si>
  <si>
    <t>同一困难词重复出现时的 unique 开关</t>
  </si>
  <si>
    <t>TZ = "intricate intricate intricate"，syllable_threshold=2</t>
  </si>
  <si>
    <t>分别调用 textstat.difficult_words(TZ, 2, True) 与 textstat.difficult_words(TZ, 2, False)，记录返回值。</t>
  </si>
  <si>
    <t>1（unique=True 时重复词只计一次）与 3（unique=False 时按出现次数统计）</t>
  </si>
  <si>
    <t>1；3</t>
  </si>
  <si>
    <t>等价类划分：unique 参数的两个取值</t>
  </si>
  <si>
    <t>TC-A-017</t>
  </si>
  <si>
    <t>常规文本与含未收录词文本的困难词数</t>
  </si>
  <si>
    <t>TO = "The dog is in the park."；TM = "The interoperability of systems matters."</t>
  </si>
  <si>
    <t>分别调用 textstat.difficult_words(TO) 与 textstat.difficult_words(TM)，记录两个返回值。</t>
  </si>
  <si>
    <t>0（全为易词）与 3（interoperability 等 3 个困难词）</t>
  </si>
  <si>
    <t>0；抛出 KeyError: 'interoperability'</t>
  </si>
  <si>
    <t>场景法：难词判定依赖音节统计的调用链（缺陷 A1）</t>
  </si>
  <si>
    <t>TC-A-018</t>
  </si>
  <si>
    <t>计数功能 / long_word_count</t>
  </si>
  <si>
    <t>长词阈值边界</t>
  </si>
  <si>
    <t>TP = "sixsix seven77"，threshold=6 与 threshold=5</t>
  </si>
  <si>
    <t>分别调用 textstat.long_word_count(TP, threshold=6) 与 threshold=5，记录返回值。</t>
  </si>
  <si>
    <t>1（sixsix 恰为 6 个字母不计入，seven77 为 7 个字母计入）与 2（阈值 5 时两个词都超过阈值）</t>
  </si>
  <si>
    <t>1；2</t>
  </si>
  <si>
    <t>边界值分析：等于阈值不计、大于阈值计入的临界点</t>
  </si>
  <si>
    <t>TC-A-019</t>
  </si>
  <si>
    <t>空字符串与短词文本的长词数</t>
  </si>
  <si>
    <t>""；"hi"</t>
  </si>
  <si>
    <t>分别调用 textstat.long_word_count("") 与 textstat.long_word_count("hi")，记录返回值。</t>
  </si>
  <si>
    <t>0 与 0</t>
  </si>
  <si>
    <t>0；0</t>
  </si>
  <si>
    <t>边界值分析：空字符串与短词文本</t>
  </si>
  <si>
    <t>TC-A-020</t>
  </si>
  <si>
    <t>计数功能 / monosyllabcount</t>
  </si>
  <si>
    <t>常规英文句子的单音节词数</t>
  </si>
  <si>
    <t>调用 textstat.monosyllabcount(TA)，记录返回值。</t>
  </si>
  <si>
    <t>7（The / quick / brown / fox / jumps / the / dog 为单音节词，over 与 lazy 为双音节词）</t>
  </si>
  <si>
    <t>等价类划分：单音节词与多音节词混排的文本</t>
  </si>
  <si>
    <t>TC-A-021</t>
  </si>
  <si>
    <t>含数字词文本的单音节词数</t>
  </si>
  <si>
    <t>调用 textstat.monosyllabcount(TL)，记录返回值。</t>
  </si>
  <si>
    <t>4（数字词 2024 的音节应回退 pyphen 计算，不应抛出异常）</t>
  </si>
  <si>
    <t>场景法：逐词音节统计的调用链（缺陷 A1）</t>
  </si>
  <si>
    <t>TC-A-022</t>
  </si>
  <si>
    <t>计数功能 / polysyllabcount</t>
  </si>
  <si>
    <t>三音节词与常规文本的多音节词数</t>
  </si>
  <si>
    <t>"banana"；TA = "The quick brown fox jumps over the lazy dog."</t>
  </si>
  <si>
    <t>分别调用 textstat.polysyllabcount("banana") 与 textstat.polysyllabcount(TA)，记录返回值。</t>
  </si>
  <si>
    <t>1（banana 为三音节词，达到三音节及以上计入标准）与 0（TA 中没有三音节及以上的词）</t>
  </si>
  <si>
    <t>1；0</t>
  </si>
  <si>
    <t>等价类划分：含三音节词的文本与不含三音节词的文本</t>
  </si>
  <si>
    <t>TC-A-023</t>
  </si>
  <si>
    <t>常规文本与含未收录词文本的多音节词数</t>
  </si>
  <si>
    <t>分别调用 textstat.polysyllabcount(TA) 与 textstat.polysyllabcount(TM)，记录两个返回值。</t>
  </si>
  <si>
    <t>0（常规文本）与 1（interoperability 回退 pyphen 后为多音节词）</t>
  </si>
  <si>
    <t>TC-A-024</t>
  </si>
  <si>
    <t>难词判定的音节阈值边界</t>
  </si>
  <si>
    <t>TN = "Cool dogs wear da sunglasses."，syllable_threshold=1 / 2 / 3，unique=True</t>
  </si>
  <si>
    <t>分别以 syllable_threshold=1、2、3 调用 textstat.difficult_words(TN, syllable_threshold, unique=True)，记录返回值。</t>
  </si>
  <si>
    <t>3、1、1（阈值越大，被判定为难词的词越少）</t>
  </si>
  <si>
    <t>3；1；1</t>
  </si>
  <si>
    <t>边界值分析：难词判定的音节阈值边界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</si>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</sst>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9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b/>
      <sz val="1200"/>
      <color rgb="FF000000"/>
      <name val="宋体"/>
      <charset val="134"/>
    </font>
    <font>
      <b/>
      <sz val="1200"/>
      <color rgb="FF000000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200"/>
      <color indexed="10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10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/>
    <xf numFmtId="0" fontId="4" fillId="0" borderId="0" xfId="0" applyNumberFormat="1" applyFont="1" applyAlignment="1"/>
    <xf numFmtId="0" fontId="2" fillId="4" borderId="5" xfId="0" applyNumberFormat="1" applyFont="1" applyFill="1" applyBorder="1" applyAlignment="1">
      <alignment horizontal="center" wrapText="1"/>
    </xf>
    <xf numFmtId="0" fontId="5" fillId="4" borderId="5" xfId="0" applyNumberFormat="1" applyFont="1" applyFill="1" applyBorder="1" applyAlignment="1">
      <alignment horizontal="center" wrapText="1"/>
    </xf>
    <xf numFmtId="0" fontId="4" fillId="0" borderId="0" xfId="0" applyNumberFormat="1" applyFont="1" applyBorder="1" applyAlignment="1">
      <alignment wrapText="1"/>
    </xf>
    <xf numFmtId="0" fontId="4" fillId="0" borderId="0" xfId="0" applyNumberFormat="1" applyFont="1" applyAlignment="1">
      <alignment wrapText="1"/>
    </xf>
    <xf numFmtId="0" fontId="3" fillId="3" borderId="5" xfId="0" applyNumberFormat="1" applyFont="1" applyFill="1" applyBorder="1" applyAlignment="1">
      <alignment wrapText="1"/>
    </xf>
    <xf numFmtId="0" fontId="4" fillId="0" borderId="0" xfId="0" applyNumberFormat="1" applyFont="1" applyBorder="1"/>
    <xf numFmtId="0" fontId="6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>
      <alignment horizontal="centerContinuous"/>
    </xf>
    <xf numFmtId="0" fontId="1" fillId="3" borderId="1" xfId="0" applyNumberFormat="1" applyFont="1" applyFill="1" applyBorder="1" applyAlignment="1">
      <alignment horizontal="centerContinuous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>
      <alignment horizontal="center"/>
    </xf>
    <xf numFmtId="0" fontId="7" fillId="3" borderId="1" xfId="0" applyNumberFormat="1" applyFont="1" applyFill="1" applyBorder="1" applyAlignment="1">
      <alignment horizontal="centerContinuous"/>
    </xf>
    <xf numFmtId="0" fontId="8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>
      <alignment horizontal="centerContinuous"/>
    </xf>
    <xf numFmtId="49" fontId="4" fillId="3" borderId="1" xfId="0" applyNumberFormat="1" applyFont="1" applyFill="1" applyBorder="1" applyAlignment="1">
      <alignment horizontal="centerContinuous"/>
    </xf>
    <xf numFmtId="0" fontId="4" fillId="3" borderId="1" xfId="0" applyNumberFormat="1" applyFont="1" applyFill="1" applyBorder="1" applyAlignment="1">
      <alignment vertical="center" wrapText="1"/>
    </xf>
    <xf numFmtId="177" fontId="4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0" fontId="4" fillId="3" borderId="6" xfId="0" applyNumberFormat="1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176" fontId="4" fillId="3" borderId="6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>
      <alignment horizontal="centerContinuous"/>
    </xf>
    <xf numFmtId="0" fontId="4" fillId="3" borderId="8" xfId="0" applyNumberFormat="1" applyFont="1" applyFill="1" applyBorder="1" applyAlignment="1">
      <alignment horizontal="center"/>
    </xf>
    <xf numFmtId="0" fontId="4" fillId="3" borderId="9" xfId="0" applyNumberFormat="1" applyFont="1" applyFill="1" applyBorder="1" applyAlignment="1">
      <alignment horizontal="center"/>
    </xf>
    <xf numFmtId="176" fontId="4" fillId="3" borderId="8" xfId="0" applyNumberFormat="1" applyFont="1" applyFill="1" applyBorder="1" applyAlignment="1">
      <alignment horizontal="center"/>
    </xf>
    <xf numFmtId="176" fontId="4" fillId="3" borderId="10" xfId="0" applyNumberFormat="1" applyFont="1" applyFill="1" applyBorder="1" applyAlignment="1">
      <alignment horizontal="center"/>
    </xf>
    <xf numFmtId="0" fontId="4" fillId="6" borderId="0" xfId="0" applyNumberFormat="1" applyFont="1" applyFill="1" applyBorder="1" applyAlignment="1">
      <alignment horizontal="centerContinuous"/>
    </xf>
    <xf numFmtId="176" fontId="4" fillId="6" borderId="0" xfId="0" applyNumberFormat="1" applyFont="1" applyFill="1" applyBorder="1" applyAlignment="1">
      <alignment horizontal="centerContinuous"/>
    </xf>
    <xf numFmtId="0" fontId="1" fillId="4" borderId="7" xfId="0" applyNumberFormat="1" applyFont="1" applyFill="1" applyBorder="1" applyAlignment="1">
      <alignment horizontal="center"/>
    </xf>
    <xf numFmtId="0" fontId="4" fillId="4" borderId="9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1" xfId="0" applyNumberFormat="1" applyFont="1" applyFill="1" applyBorder="1" applyAlignment="1">
      <alignment horizontal="center"/>
    </xf>
    <xf numFmtId="0" fontId="4" fillId="5" borderId="11" xfId="0" applyNumberFormat="1" applyFont="1" applyFill="1" applyBorder="1" applyAlignment="1"/>
    <xf numFmtId="10" fontId="4" fillId="5" borderId="11" xfId="0" applyNumberFormat="1" applyFont="1" applyFill="1" applyBorder="1" applyAlignment="1"/>
    <xf numFmtId="0" fontId="9" fillId="6" borderId="7" xfId="0" applyNumberFormat="1" applyFont="1" applyFill="1" applyBorder="1" applyAlignment="1">
      <alignment horizontal="center"/>
    </xf>
    <xf numFmtId="0" fontId="9" fillId="6" borderId="9" xfId="0" applyNumberFormat="1" applyFont="1" applyFill="1" applyBorder="1" applyAlignment="1"/>
    <xf numFmtId="0" fontId="9" fillId="6" borderId="9" xfId="0" applyNumberFormat="1" applyFont="1" applyFill="1" applyBorder="1" applyAlignment="1">
      <alignment horizontal="center"/>
    </xf>
    <xf numFmtId="10" fontId="9" fillId="6" borderId="10" xfId="0" applyNumberFormat="1" applyFont="1" applyFill="1" applyBorder="1" applyAlignment="1"/>
    <xf numFmtId="0" fontId="1" fillId="4" borderId="12" xfId="0" applyNumberFormat="1" applyFont="1" applyFill="1" applyBorder="1" applyAlignment="1"/>
    <xf numFmtId="0" fontId="4" fillId="5" borderId="13" xfId="0" applyNumberFormat="1" applyFont="1" applyFill="1" applyBorder="1" applyAlignment="1">
      <alignment horizontal="center"/>
    </xf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 b="0" i="0" u="none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rPr>
              <a:t>测试结果</a:t>
            </a:r>
            <a:endParaRPr sz="1050" b="0" i="0" u="none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view3D>
      <c:rotX val="25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Information文档信息!$B$37:$B$40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Information文档信息!$E$37:$E$40</c:f>
              <c:numCache>
                <c:formatCode>0.00%</c:formatCode>
                <c:ptCount val="4"/>
                <c:pt idx="0">
                  <c:v>0.708333333333333</c:v>
                </c:pt>
                <c:pt idx="1">
                  <c:v>0.125</c:v>
                </c:pt>
                <c:pt idx="2">
                  <c:v>0.166666666666667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c50e22-645b-465f-a1a5-a60d6a1e8db4}"/>
      </c:ext>
    </c:extLst>
  </c:chart>
  <c:spPr>
    <a:solidFill>
      <a:srgbClr val="FFFFFF"/>
    </a:solidFill>
    <a:ln w="3175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35</xdr:row>
      <xdr:rowOff>0</xdr:rowOff>
    </xdr:from>
    <xdr:to>
      <xdr:col>9</xdr:col>
      <xdr:colOff>95250</xdr:colOff>
      <xdr:row>48</xdr:row>
      <xdr:rowOff>28575</xdr:rowOff>
    </xdr:to>
    <xdr:graphicFrame>
      <xdr:nvGraphicFramePr>
        <xdr:cNvPr id="2" name="Chart"/>
        <xdr:cNvGraphicFramePr/>
      </xdr:nvGraphicFramePr>
      <xdr:xfrm>
        <a:off x="3879850" y="9808210"/>
        <a:ext cx="3644900" cy="2426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9225" y="104775"/>
          <a:ext cx="2819400" cy="37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2"/>
  <sheetViews>
    <sheetView showGridLines="0" tabSelected="1" workbookViewId="0">
      <selection activeCell="E13" sqref="E13"/>
    </sheetView>
  </sheetViews>
  <sheetFormatPr defaultColWidth="11.6296296296296" defaultRowHeight="15.35"/>
  <cols>
    <col min="1" max="1" width="1.62962962962963" style="9" customWidth="1"/>
    <col min="2" max="13" width="10.6296296296296" style="9" customWidth="1"/>
    <col min="14" max="15" width="7.62962962962963" style="9" customWidth="1"/>
    <col min="16" max="16384" width="11.6296296296296" style="9"/>
  </cols>
  <sheetData>
    <row r="1" ht="9.9" customHeight="1"/>
    <row r="2" ht="23.25" spans="2:12">
      <c r="B2" s="16" t="s">
        <v>0</v>
      </c>
      <c r="C2" s="16"/>
      <c r="D2" s="17"/>
      <c r="E2" s="17"/>
      <c r="F2" s="18"/>
      <c r="G2" s="18"/>
      <c r="H2" s="18"/>
      <c r="I2" s="18"/>
      <c r="J2" s="18"/>
      <c r="K2" s="18"/>
    </row>
    <row r="3" spans="2:12">
      <c r="B3" s="17"/>
      <c r="C3" s="17"/>
      <c r="D3" s="17"/>
      <c r="E3" s="18"/>
      <c r="F3" s="18"/>
      <c r="G3" s="18"/>
      <c r="H3" s="18"/>
      <c r="I3" s="18"/>
      <c r="J3" s="18"/>
      <c r="K3" s="18"/>
    </row>
    <row r="4" spans="2:12">
      <c r="B4" s="17"/>
      <c r="C4" s="17"/>
      <c r="D4" s="17"/>
      <c r="E4" s="17"/>
      <c r="F4" s="18"/>
      <c r="G4" s="18"/>
      <c r="H4" s="18"/>
      <c r="I4" s="18"/>
      <c r="J4" s="18"/>
      <c r="K4" s="18"/>
    </row>
    <row r="5" ht="3.9" customHeight="1"/>
    <row r="6" ht="15.75" spans="2:12">
      <c r="B6" s="19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20"/>
    </row>
    <row r="7" ht="15.75" spans="2:12">
      <c r="B7" s="19" t="s">
        <v>2</v>
      </c>
      <c r="C7" s="19"/>
      <c r="D7" s="19"/>
      <c r="E7" s="21" t="s">
        <v>3</v>
      </c>
      <c r="F7" s="21"/>
      <c r="G7" s="19" t="s">
        <v>4</v>
      </c>
      <c r="H7" s="19"/>
      <c r="I7" s="19"/>
      <c r="J7" s="21" t="s">
        <v>5</v>
      </c>
      <c r="K7" s="21"/>
      <c r="L7" s="20"/>
    </row>
    <row r="8" ht="15.75" spans="2:12">
      <c r="B8" s="19" t="s">
        <v>6</v>
      </c>
      <c r="C8" s="19"/>
      <c r="D8" s="19"/>
      <c r="E8" s="21" t="s">
        <v>7</v>
      </c>
      <c r="F8" s="21"/>
      <c r="G8" s="19" t="s">
        <v>8</v>
      </c>
      <c r="H8" s="19"/>
      <c r="I8" s="19"/>
      <c r="J8" s="21" t="s">
        <v>9</v>
      </c>
      <c r="K8" s="21"/>
      <c r="L8" s="20"/>
    </row>
    <row r="9" ht="15.75" spans="2:12">
      <c r="B9" s="19" t="s">
        <v>10</v>
      </c>
      <c r="C9" s="19"/>
      <c r="D9" s="19"/>
      <c r="E9" s="22" t="s">
        <v>11</v>
      </c>
      <c r="F9" s="21"/>
      <c r="G9" s="19" t="s">
        <v>12</v>
      </c>
      <c r="H9" s="19"/>
      <c r="I9" s="19"/>
      <c r="J9" s="21" t="s">
        <v>13</v>
      </c>
      <c r="K9" s="21"/>
      <c r="L9" s="20"/>
    </row>
    <row r="10" ht="15.75" spans="2:12">
      <c r="B10" s="19" t="s">
        <v>14</v>
      </c>
      <c r="C10" s="19"/>
      <c r="D10" s="19"/>
      <c r="E10" s="22" t="s">
        <v>11</v>
      </c>
      <c r="F10" s="21"/>
      <c r="G10" s="19" t="s">
        <v>12</v>
      </c>
      <c r="H10" s="19"/>
      <c r="I10" s="19"/>
      <c r="J10" s="21" t="s">
        <v>13</v>
      </c>
      <c r="K10" s="21"/>
      <c r="L10" s="20"/>
    </row>
    <row r="11" ht="15.75" spans="2:12">
      <c r="B11" s="19" t="s">
        <v>15</v>
      </c>
      <c r="C11" s="19"/>
      <c r="D11" s="19"/>
      <c r="E11" s="21"/>
      <c r="F11" s="21"/>
      <c r="G11" s="19" t="s">
        <v>12</v>
      </c>
      <c r="H11" s="19"/>
      <c r="I11" s="19"/>
      <c r="J11" s="21" t="s">
        <v>13</v>
      </c>
      <c r="K11" s="21"/>
      <c r="L11" s="20"/>
    </row>
    <row r="12" ht="3.9" customHeight="1" spans="2:12"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ht="15.75" spans="2:12">
      <c r="B13" s="19" t="s">
        <v>16</v>
      </c>
      <c r="C13" s="19"/>
      <c r="D13" s="19"/>
      <c r="E13" s="24">
        <v>24</v>
      </c>
      <c r="F13" s="20"/>
    </row>
    <row r="14" ht="3.9" customHeight="1" spans="2:12">
      <c r="B14" s="23"/>
      <c r="C14" s="23"/>
      <c r="D14" s="23"/>
      <c r="E14" s="23"/>
    </row>
    <row r="15" ht="15.75" spans="2:12">
      <c r="B15" s="19" t="s">
        <v>17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ht="18.9" customHeight="1" spans="2:12">
      <c r="B16" s="25" t="s">
        <v>18</v>
      </c>
      <c r="C16" s="26"/>
      <c r="D16" s="21"/>
      <c r="E16" s="21"/>
      <c r="F16" s="21"/>
      <c r="G16" s="21"/>
      <c r="H16" s="21"/>
      <c r="I16" s="21"/>
      <c r="J16" s="21"/>
      <c r="K16" s="21"/>
      <c r="L16" s="20"/>
    </row>
    <row r="17" ht="3.9" customHeight="1" spans="2:12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ht="15.75" spans="2:12">
      <c r="B18" s="19" t="s">
        <v>19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ht="46.9" spans="2:12">
      <c r="B19" s="27" t="s">
        <v>20</v>
      </c>
      <c r="C19" s="27" t="s">
        <v>21</v>
      </c>
      <c r="D19" s="27" t="s">
        <v>22</v>
      </c>
      <c r="E19" s="28" t="s">
        <v>23</v>
      </c>
      <c r="F19" s="28"/>
      <c r="G19" s="28"/>
      <c r="H19" s="28"/>
      <c r="I19" s="28"/>
      <c r="J19" s="28"/>
      <c r="K19" s="27" t="s">
        <v>24</v>
      </c>
      <c r="L19" s="20"/>
    </row>
    <row r="20" ht="50" customHeight="1" spans="2:12">
      <c r="B20" s="29" t="s">
        <v>25</v>
      </c>
      <c r="C20" s="30" t="s">
        <v>26</v>
      </c>
      <c r="D20" s="21" t="s">
        <v>27</v>
      </c>
      <c r="E20" s="31" t="s">
        <v>28</v>
      </c>
      <c r="F20" s="31"/>
      <c r="G20" s="31"/>
      <c r="H20" s="31"/>
      <c r="I20" s="31"/>
      <c r="J20" s="31"/>
      <c r="K20" s="22" t="s">
        <v>11</v>
      </c>
      <c r="L20" s="20"/>
    </row>
    <row r="21" ht="123" customHeight="1" spans="2:12">
      <c r="B21" s="29" t="s">
        <v>13</v>
      </c>
      <c r="C21" s="30" t="s">
        <v>29</v>
      </c>
      <c r="D21" s="21" t="s">
        <v>27</v>
      </c>
      <c r="E21" s="31" t="s">
        <v>30</v>
      </c>
      <c r="F21" s="31"/>
      <c r="G21" s="31"/>
      <c r="H21" s="31"/>
      <c r="I21" s="31"/>
      <c r="J21" s="31"/>
      <c r="K21" s="22" t="s">
        <v>11</v>
      </c>
      <c r="L21" s="20"/>
    </row>
    <row r="22" ht="123" customHeight="1" spans="2:12">
      <c r="B22" s="29" t="s">
        <v>13</v>
      </c>
      <c r="C22" s="30" t="s">
        <v>31</v>
      </c>
      <c r="D22" s="21" t="s">
        <v>27</v>
      </c>
      <c r="E22" s="31" t="s">
        <v>32</v>
      </c>
      <c r="F22" s="31"/>
      <c r="G22" s="31"/>
      <c r="H22" s="31"/>
      <c r="I22" s="31"/>
      <c r="J22" s="31"/>
      <c r="K22" s="22" t="s">
        <v>11</v>
      </c>
      <c r="L22" s="20"/>
    </row>
    <row r="23" spans="2:12">
      <c r="B23" s="29"/>
      <c r="C23" s="30"/>
      <c r="D23" s="32"/>
      <c r="E23" s="21"/>
      <c r="F23" s="21"/>
      <c r="G23" s="21"/>
      <c r="H23" s="21"/>
      <c r="I23" s="21"/>
      <c r="J23" s="21"/>
      <c r="K23" s="21"/>
      <c r="L23" s="20"/>
    </row>
    <row r="24" spans="2:12">
      <c r="B24" s="29"/>
      <c r="C24" s="30"/>
      <c r="D24" s="21"/>
      <c r="E24" s="21"/>
      <c r="F24" s="21"/>
      <c r="G24" s="21"/>
      <c r="H24" s="21"/>
      <c r="I24" s="21"/>
      <c r="J24" s="21"/>
      <c r="K24" s="21"/>
      <c r="L24" s="20"/>
    </row>
    <row r="25" ht="3.9" customHeight="1" spans="2:12"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ht="15.75" spans="2:12">
      <c r="B26" s="19" t="s">
        <v>33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ht="15.75" spans="2:12">
      <c r="B27" s="33" t="s">
        <v>34</v>
      </c>
      <c r="C27" s="19" t="s">
        <v>35</v>
      </c>
      <c r="D27" s="19"/>
      <c r="E27" s="19"/>
      <c r="F27" s="19"/>
      <c r="G27" s="19"/>
      <c r="H27" s="19"/>
      <c r="I27" s="19"/>
      <c r="J27" s="19" t="s">
        <v>36</v>
      </c>
      <c r="K27" s="19"/>
      <c r="L27" s="20"/>
    </row>
    <row r="28" spans="2:12">
      <c r="B28" s="21">
        <v>1</v>
      </c>
      <c r="C28" s="21" t="s">
        <v>37</v>
      </c>
      <c r="D28" s="21"/>
      <c r="E28" s="21"/>
      <c r="F28" s="21"/>
      <c r="G28" s="21"/>
      <c r="H28" s="21"/>
      <c r="I28" s="21"/>
      <c r="J28" s="29" t="s">
        <v>13</v>
      </c>
      <c r="K28" s="29"/>
      <c r="L28" s="20"/>
    </row>
    <row r="29" ht="15.75" spans="2:12">
      <c r="B29" s="21">
        <v>2</v>
      </c>
      <c r="C29" s="22" t="s">
        <v>38</v>
      </c>
      <c r="D29" s="21"/>
      <c r="E29" s="21"/>
      <c r="F29" s="21"/>
      <c r="G29" s="21"/>
      <c r="H29" s="21"/>
      <c r="I29" s="21"/>
      <c r="J29" s="29" t="s">
        <v>13</v>
      </c>
      <c r="K29" s="29"/>
      <c r="L29" s="20"/>
    </row>
    <row r="30" spans="2:12">
      <c r="B30" s="21"/>
      <c r="C30" s="34"/>
      <c r="D30" s="35"/>
      <c r="E30" s="35"/>
      <c r="F30" s="35"/>
      <c r="G30" s="35"/>
      <c r="H30" s="35"/>
      <c r="I30" s="35"/>
      <c r="J30" s="36"/>
      <c r="K30" s="37"/>
      <c r="L30" s="20"/>
    </row>
    <row r="31" spans="2:12">
      <c r="B31" s="21"/>
      <c r="C31" s="34"/>
      <c r="D31" s="35"/>
      <c r="E31" s="35"/>
      <c r="F31" s="35"/>
      <c r="G31" s="35"/>
      <c r="H31" s="35"/>
      <c r="I31" s="35"/>
      <c r="J31" s="36"/>
      <c r="K31" s="37"/>
      <c r="L31" s="20"/>
    </row>
    <row r="32" spans="2:12">
      <c r="B32" s="38"/>
      <c r="C32" s="39"/>
      <c r="D32" s="40"/>
      <c r="E32" s="40"/>
      <c r="F32" s="40"/>
      <c r="G32" s="40"/>
      <c r="H32" s="40"/>
      <c r="I32" s="40"/>
      <c r="J32" s="41"/>
      <c r="K32" s="42"/>
      <c r="L32" s="15"/>
    </row>
    <row r="33" spans="2:12">
      <c r="B33" s="43"/>
      <c r="C33" s="43"/>
      <c r="D33" s="43"/>
      <c r="E33" s="43"/>
      <c r="F33" s="43"/>
      <c r="G33" s="43"/>
      <c r="H33" s="43"/>
      <c r="I33" s="43"/>
      <c r="J33" s="44"/>
      <c r="K33" s="44"/>
      <c r="L33" s="15"/>
    </row>
    <row r="34" spans="2:12"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6" ht="15" customHeight="1" spans="2:12">
      <c r="B36" s="45" t="s">
        <v>39</v>
      </c>
      <c r="C36" s="46"/>
      <c r="D36" s="46"/>
      <c r="E36" s="47"/>
    </row>
    <row r="37" ht="15.75" spans="2:12">
      <c r="B37" s="48" t="s">
        <v>40</v>
      </c>
      <c r="C37" s="49">
        <f>IF($E$13=0,0,COUNTIF('Test Cases测试用例'!$L:$L,"=OK"))</f>
        <v>17</v>
      </c>
      <c r="D37" s="48" t="s">
        <v>41</v>
      </c>
      <c r="E37" s="50">
        <f>IF(E13=0,0,C37/E13)</f>
        <v>0.708333333333333</v>
      </c>
    </row>
    <row r="38" ht="15.75" spans="2:12">
      <c r="B38" s="48" t="s">
        <v>42</v>
      </c>
      <c r="C38" s="49">
        <f>IF($E$13=0,0,COUNTIF('Test Cases测试用例'!$L:$L,"=POK"))</f>
        <v>3</v>
      </c>
      <c r="D38" s="48" t="s">
        <v>43</v>
      </c>
      <c r="E38" s="50">
        <f>IF(E13=0,0,C38/E13)</f>
        <v>0.125</v>
      </c>
    </row>
    <row r="39" ht="15.75" spans="2:12">
      <c r="B39" s="48" t="s">
        <v>44</v>
      </c>
      <c r="C39" s="49">
        <f>IF($E$13=0,0,COUNTIF('Test Cases测试用例'!$L:$L,"=NG"))</f>
        <v>4</v>
      </c>
      <c r="D39" s="48" t="s">
        <v>45</v>
      </c>
      <c r="E39" s="50">
        <f>IF(E13=0,0,C39/E13)</f>
        <v>0.166666666666667</v>
      </c>
    </row>
    <row r="40" ht="15.75" spans="2:12">
      <c r="B40" s="51" t="s">
        <v>46</v>
      </c>
      <c r="C40" s="52">
        <f>IF($E$13=0,0,COUNTIF('Test Cases测试用例'!$L:$L,"=NT"))</f>
        <v>0</v>
      </c>
      <c r="D40" s="51" t="s">
        <v>47</v>
      </c>
      <c r="E40" s="53">
        <f>IF(E13=0,0,C40/E13)</f>
        <v>0</v>
      </c>
    </row>
    <row r="41" ht="3" customHeight="1" spans="2:12">
      <c r="B41" s="54"/>
      <c r="C41" s="55"/>
      <c r="D41" s="56"/>
      <c r="E41" s="57"/>
    </row>
    <row r="42" ht="15.75" spans="2:12">
      <c r="B42" s="58" t="s">
        <v>48</v>
      </c>
      <c r="C42" s="59">
        <v>24</v>
      </c>
      <c r="D42" s="60"/>
      <c r="E42" s="61"/>
    </row>
  </sheetData>
  <mergeCells count="11">
    <mergeCell ref="E20:J20"/>
    <mergeCell ref="E21:J21"/>
    <mergeCell ref="E22:J22"/>
    <mergeCell ref="C30:I30"/>
    <mergeCell ref="J30:K30"/>
    <mergeCell ref="C31:I31"/>
    <mergeCell ref="J31:K31"/>
    <mergeCell ref="C32:I32"/>
    <mergeCell ref="J32:K32"/>
    <mergeCell ref="B36:E36"/>
    <mergeCell ref="C42:E4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2389"/>
  <sheetViews>
    <sheetView showGridLines="0" workbookViewId="0">
      <selection activeCell="A1" sqref="A1"/>
    </sheetView>
  </sheetViews>
  <sheetFormatPr defaultColWidth="11.6296296296296" defaultRowHeight="15.35"/>
  <cols>
    <col min="1" max="1" width="15.362962962963" style="8" customWidth="1"/>
    <col min="2" max="2" width="16.5407407407407" style="8" customWidth="1"/>
    <col min="3" max="3" width="26.8148148148148" style="8" customWidth="1"/>
    <col min="4" max="4" width="21" style="8" customWidth="1"/>
    <col min="5" max="5" width="13.9037037037037" style="8" hidden="1" customWidth="1"/>
    <col min="6" max="6" width="8.9037037037037" style="8" hidden="1" customWidth="1"/>
    <col min="7" max="7" width="21.1777777777778" style="8" customWidth="1"/>
    <col min="8" max="8" width="12.8148148148148" style="8" customWidth="1"/>
    <col min="9" max="9" width="14.4518518518519" style="8" customWidth="1"/>
    <col min="10" max="10" width="16.4518518518519" style="8" customWidth="1"/>
    <col min="11" max="11" width="11.8148148148148" style="8" customWidth="1"/>
    <col min="12" max="12" width="11" style="8" customWidth="1"/>
    <col min="13" max="13" width="20.9037037037037" style="8" customWidth="1"/>
    <col min="14" max="14" width="3.45185185185185" style="9" hidden="1" customWidth="1"/>
    <col min="15" max="16384" width="11.6296296296296" style="9"/>
  </cols>
  <sheetData>
    <row r="1" ht="409.5" spans="1:140">
      <c r="A1" s="10" t="s">
        <v>49</v>
      </c>
      <c r="B1" s="10" t="s">
        <v>50</v>
      </c>
      <c r="C1" s="10" t="s">
        <v>51</v>
      </c>
      <c r="D1" s="10" t="s">
        <v>52</v>
      </c>
      <c r="E1" s="11" t="s">
        <v>53</v>
      </c>
      <c r="F1" s="11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121" customHeight="1" spans="1:140">
      <c r="A2" s="14" t="s">
        <v>62</v>
      </c>
      <c r="B2" s="14" t="s">
        <v>63</v>
      </c>
      <c r="C2" s="14" t="s">
        <v>64</v>
      </c>
      <c r="D2" s="14" t="s">
        <v>65</v>
      </c>
      <c r="E2" s="14" t="s">
        <v>66</v>
      </c>
      <c r="F2" s="14" t="s">
        <v>66</v>
      </c>
      <c r="G2" s="14" t="s">
        <v>67</v>
      </c>
      <c r="H2" s="14" t="s">
        <v>68</v>
      </c>
      <c r="I2" s="14" t="s">
        <v>69</v>
      </c>
      <c r="J2" s="14" t="s">
        <v>70</v>
      </c>
      <c r="K2" s="14" t="s">
        <v>71</v>
      </c>
      <c r="L2" s="14" t="s">
        <v>72</v>
      </c>
      <c r="M2" s="14" t="s">
        <v>73</v>
      </c>
      <c r="N2" s="15" t="s">
        <v>72</v>
      </c>
    </row>
    <row r="3" ht="121" customHeight="1" spans="1:140">
      <c r="A3" s="14" t="s">
        <v>74</v>
      </c>
      <c r="B3" s="14" t="s">
        <v>63</v>
      </c>
      <c r="C3" s="14" t="s">
        <v>75</v>
      </c>
      <c r="D3" s="14" t="s">
        <v>76</v>
      </c>
      <c r="E3" s="14" t="s">
        <v>66</v>
      </c>
      <c r="F3" s="14" t="s">
        <v>66</v>
      </c>
      <c r="G3" s="14" t="s">
        <v>67</v>
      </c>
      <c r="H3" s="14" t="s">
        <v>77</v>
      </c>
      <c r="I3" s="14" t="s">
        <v>78</v>
      </c>
      <c r="J3" s="14" t="s">
        <v>79</v>
      </c>
      <c r="K3" s="14" t="s">
        <v>80</v>
      </c>
      <c r="L3" s="14" t="s">
        <v>72</v>
      </c>
      <c r="M3" s="14" t="s">
        <v>81</v>
      </c>
      <c r="N3" s="15" t="s">
        <v>82</v>
      </c>
    </row>
    <row r="4" ht="106" customHeight="1" spans="1:140">
      <c r="A4" s="14" t="s">
        <v>83</v>
      </c>
      <c r="B4" s="14" t="s">
        <v>84</v>
      </c>
      <c r="C4" s="14" t="s">
        <v>85</v>
      </c>
      <c r="D4" t="s">
        <v>65</v>
      </c>
      <c r="E4" s="14" t="s">
        <v>66</v>
      </c>
      <c r="F4" s="14" t="s">
        <v>66</v>
      </c>
      <c r="G4" s="14" t="s">
        <v>67</v>
      </c>
      <c r="H4" s="14" t="s">
        <v>86</v>
      </c>
      <c r="I4" s="14" t="s">
        <v>87</v>
      </c>
      <c r="J4" s="14" t="s">
        <v>88</v>
      </c>
      <c r="K4" s="14" t="s">
        <v>89</v>
      </c>
      <c r="L4" s="14" t="s">
        <v>72</v>
      </c>
      <c r="M4" s="14" t="s">
        <v>90</v>
      </c>
      <c r="N4" s="15" t="s">
        <v>91</v>
      </c>
    </row>
    <row r="5" ht="106" customHeight="1" spans="1:140">
      <c r="A5" s="14" t="s">
        <v>92</v>
      </c>
      <c r="B5" s="14" t="s">
        <v>84</v>
      </c>
      <c r="C5" s="14" t="s">
        <v>93</v>
      </c>
      <c r="D5" s="14" t="s">
        <v>76</v>
      </c>
      <c r="E5" s="14" t="s">
        <v>66</v>
      </c>
      <c r="F5" s="14" t="s">
        <v>66</v>
      </c>
      <c r="G5" s="14" t="s">
        <v>67</v>
      </c>
      <c r="H5" s="14" t="s">
        <v>94</v>
      </c>
      <c r="I5" s="14" t="s">
        <v>95</v>
      </c>
      <c r="J5" s="14" t="s">
        <v>96</v>
      </c>
      <c r="K5" s="14" t="s">
        <v>96</v>
      </c>
      <c r="L5" s="14" t="s">
        <v>72</v>
      </c>
      <c r="M5" s="14" t="s">
        <v>97</v>
      </c>
      <c r="N5" s="15" t="s">
        <v>98</v>
      </c>
    </row>
    <row r="6" ht="106" customHeight="1" spans="1:140">
      <c r="A6" s="14" t="s">
        <v>99</v>
      </c>
      <c r="B6" s="14" t="s">
        <v>84</v>
      </c>
      <c r="C6" s="14" t="s">
        <v>100</v>
      </c>
      <c r="D6" s="14" t="s">
        <v>101</v>
      </c>
      <c r="E6" s="14" t="s">
        <v>66</v>
      </c>
      <c r="F6" s="14" t="s">
        <v>66</v>
      </c>
      <c r="G6" s="14" t="s">
        <v>67</v>
      </c>
      <c r="H6" s="14" t="s">
        <v>102</v>
      </c>
      <c r="I6" s="14" t="s">
        <v>103</v>
      </c>
      <c r="J6" s="14" t="s">
        <v>104</v>
      </c>
      <c r="K6" s="14" t="s">
        <v>105</v>
      </c>
      <c r="L6" s="14" t="s">
        <v>91</v>
      </c>
      <c r="M6" s="14" t="s">
        <v>106</v>
      </c>
      <c r="N6" s="15"/>
    </row>
    <row r="7" ht="106" customHeight="1" spans="1:140">
      <c r="A7" s="14" t="s">
        <v>107</v>
      </c>
      <c r="B7" s="14" t="s">
        <v>108</v>
      </c>
      <c r="C7" s="14" t="s">
        <v>109</v>
      </c>
      <c r="D7" s="14" t="s">
        <v>65</v>
      </c>
      <c r="E7" s="14" t="s">
        <v>66</v>
      </c>
      <c r="F7" s="14" t="s">
        <v>66</v>
      </c>
      <c r="G7" s="14" t="s">
        <v>67</v>
      </c>
      <c r="H7" s="14" t="s">
        <v>86</v>
      </c>
      <c r="I7" s="14" t="s">
        <v>110</v>
      </c>
      <c r="J7" s="14" t="s">
        <v>111</v>
      </c>
      <c r="K7" s="14" t="s">
        <v>112</v>
      </c>
      <c r="L7" s="14" t="s">
        <v>72</v>
      </c>
      <c r="M7" s="14" t="s">
        <v>113</v>
      </c>
      <c r="N7" s="15"/>
    </row>
    <row r="8" ht="106" customHeight="1" spans="1:140">
      <c r="A8" s="14" t="s">
        <v>114</v>
      </c>
      <c r="B8" s="14" t="s">
        <v>108</v>
      </c>
      <c r="C8" s="14" t="s">
        <v>115</v>
      </c>
      <c r="D8" s="14" t="s">
        <v>65</v>
      </c>
      <c r="E8" s="14" t="s">
        <v>66</v>
      </c>
      <c r="F8" s="14" t="s">
        <v>66</v>
      </c>
      <c r="G8" s="14" t="s">
        <v>67</v>
      </c>
      <c r="H8" s="14" t="s">
        <v>116</v>
      </c>
      <c r="I8" s="14" t="s">
        <v>117</v>
      </c>
      <c r="J8" s="14" t="s">
        <v>118</v>
      </c>
      <c r="K8" s="14" t="s">
        <v>119</v>
      </c>
      <c r="L8" s="14" t="s">
        <v>72</v>
      </c>
      <c r="M8" s="14" t="s">
        <v>120</v>
      </c>
      <c r="N8" s="15"/>
    </row>
    <row r="9" ht="135" customHeight="1" spans="1:140">
      <c r="A9" s="14" t="s">
        <v>121</v>
      </c>
      <c r="B9" s="14" t="s">
        <v>108</v>
      </c>
      <c r="C9" s="14" t="s">
        <v>122</v>
      </c>
      <c r="D9" s="14" t="s">
        <v>65</v>
      </c>
      <c r="E9" s="14" t="s">
        <v>66</v>
      </c>
      <c r="F9" s="14" t="s">
        <v>66</v>
      </c>
      <c r="G9" s="14" t="s">
        <v>67</v>
      </c>
      <c r="H9" s="14" t="s">
        <v>123</v>
      </c>
      <c r="I9" s="14" t="s">
        <v>124</v>
      </c>
      <c r="J9" s="14" t="s">
        <v>125</v>
      </c>
      <c r="K9" s="14" t="s">
        <v>126</v>
      </c>
      <c r="L9" s="14" t="s">
        <v>72</v>
      </c>
      <c r="M9" s="14" t="s">
        <v>127</v>
      </c>
      <c r="N9" s="15"/>
    </row>
    <row r="10" ht="121" customHeight="1" spans="1:140">
      <c r="A10" s="14" t="s">
        <v>128</v>
      </c>
      <c r="B10" s="14" t="s">
        <v>129</v>
      </c>
      <c r="C10" s="14" t="s">
        <v>130</v>
      </c>
      <c r="D10" s="14" t="s">
        <v>101</v>
      </c>
      <c r="E10" s="14" t="s">
        <v>66</v>
      </c>
      <c r="F10" s="14" t="s">
        <v>66</v>
      </c>
      <c r="G10" s="14" t="s">
        <v>67</v>
      </c>
      <c r="H10" s="14" t="s">
        <v>131</v>
      </c>
      <c r="I10" s="14" t="s">
        <v>132</v>
      </c>
      <c r="J10" s="14" t="s">
        <v>133</v>
      </c>
      <c r="K10" s="14" t="s">
        <v>134</v>
      </c>
      <c r="L10" s="14" t="s">
        <v>72</v>
      </c>
      <c r="M10" s="14" t="s">
        <v>135</v>
      </c>
      <c r="N10" s="15"/>
    </row>
    <row r="11" ht="106" customHeight="1" spans="1:140">
      <c r="A11" s="14" t="s">
        <v>136</v>
      </c>
      <c r="B11" s="14" t="s">
        <v>129</v>
      </c>
      <c r="C11" s="14" t="s">
        <v>137</v>
      </c>
      <c r="D11" s="14" t="s">
        <v>65</v>
      </c>
      <c r="E11" s="14" t="s">
        <v>66</v>
      </c>
      <c r="F11" s="14" t="s">
        <v>66</v>
      </c>
      <c r="G11" s="14" t="s">
        <v>67</v>
      </c>
      <c r="H11" s="14" t="s">
        <v>138</v>
      </c>
      <c r="I11" s="14" t="s">
        <v>139</v>
      </c>
      <c r="J11" s="14" t="s">
        <v>140</v>
      </c>
      <c r="K11" s="14" t="s">
        <v>141</v>
      </c>
      <c r="L11" s="14" t="s">
        <v>72</v>
      </c>
      <c r="M11" s="14" t="s">
        <v>142</v>
      </c>
      <c r="N11" s="15"/>
    </row>
    <row r="12" ht="106" customHeight="1" spans="1:140">
      <c r="A12" s="14" t="s">
        <v>143</v>
      </c>
      <c r="B12" s="14" t="s">
        <v>129</v>
      </c>
      <c r="C12" s="14" t="s">
        <v>144</v>
      </c>
      <c r="D12" s="14" t="s">
        <v>101</v>
      </c>
      <c r="E12" s="14" t="s">
        <v>66</v>
      </c>
      <c r="F12" s="14" t="s">
        <v>66</v>
      </c>
      <c r="G12" s="14" t="s">
        <v>67</v>
      </c>
      <c r="H12" s="14" t="s">
        <v>145</v>
      </c>
      <c r="I12" s="14" t="s">
        <v>146</v>
      </c>
      <c r="J12" s="14" t="s">
        <v>147</v>
      </c>
      <c r="K12" s="14" t="s">
        <v>148</v>
      </c>
      <c r="L12" s="14" t="s">
        <v>91</v>
      </c>
      <c r="M12" s="14" t="s">
        <v>149</v>
      </c>
      <c r="N12" s="15"/>
    </row>
    <row r="13" ht="106" customHeight="1" spans="1:140">
      <c r="A13" s="14" t="s">
        <v>150</v>
      </c>
      <c r="B13" s="14" t="s">
        <v>151</v>
      </c>
      <c r="C13" s="14" t="s">
        <v>152</v>
      </c>
      <c r="D13" s="14" t="s">
        <v>65</v>
      </c>
      <c r="E13" s="14" t="s">
        <v>66</v>
      </c>
      <c r="F13" s="14" t="s">
        <v>66</v>
      </c>
      <c r="G13" s="14" t="s">
        <v>67</v>
      </c>
      <c r="H13" s="14" t="s">
        <v>153</v>
      </c>
      <c r="I13" s="14" t="s">
        <v>154</v>
      </c>
      <c r="J13" s="14" t="s">
        <v>155</v>
      </c>
      <c r="K13" s="14" t="s">
        <v>156</v>
      </c>
      <c r="L13" s="14" t="s">
        <v>72</v>
      </c>
      <c r="M13" s="14" t="s">
        <v>157</v>
      </c>
      <c r="N13" s="15"/>
    </row>
    <row r="14" ht="150" customHeight="1" spans="1:140">
      <c r="A14" s="14" t="s">
        <v>158</v>
      </c>
      <c r="B14" s="14" t="s">
        <v>151</v>
      </c>
      <c r="C14" s="14" t="s">
        <v>159</v>
      </c>
      <c r="D14" s="14" t="s">
        <v>101</v>
      </c>
      <c r="E14" s="14" t="s">
        <v>66</v>
      </c>
      <c r="F14" s="14" t="s">
        <v>66</v>
      </c>
      <c r="G14" s="14" t="s">
        <v>160</v>
      </c>
      <c r="H14" s="14" t="s">
        <v>161</v>
      </c>
      <c r="I14" s="14" t="s">
        <v>162</v>
      </c>
      <c r="J14" s="14" t="s">
        <v>163</v>
      </c>
      <c r="K14" s="14" t="s">
        <v>164</v>
      </c>
      <c r="L14" s="14" t="s">
        <v>91</v>
      </c>
      <c r="M14" s="14" t="s">
        <v>165</v>
      </c>
      <c r="N14" s="15"/>
    </row>
    <row r="15" ht="150" customHeight="1" spans="1:140">
      <c r="A15" s="14" t="s">
        <v>166</v>
      </c>
      <c r="B15" s="14" t="s">
        <v>151</v>
      </c>
      <c r="C15" s="14" t="s">
        <v>167</v>
      </c>
      <c r="D15" s="14" t="s">
        <v>101</v>
      </c>
      <c r="E15" s="14" t="s">
        <v>66</v>
      </c>
      <c r="F15" s="14" t="s">
        <v>66</v>
      </c>
      <c r="G15" s="14" t="s">
        <v>160</v>
      </c>
      <c r="H15" s="14" t="s">
        <v>168</v>
      </c>
      <c r="I15" s="14" t="s">
        <v>169</v>
      </c>
      <c r="J15" s="14" t="s">
        <v>170</v>
      </c>
      <c r="K15" s="14" t="s">
        <v>171</v>
      </c>
      <c r="L15" s="14" t="s">
        <v>82</v>
      </c>
      <c r="M15" s="14" t="s">
        <v>172</v>
      </c>
      <c r="N15" s="15"/>
    </row>
    <row r="16" ht="106" customHeight="1" spans="1:140">
      <c r="A16" s="14" t="s">
        <v>173</v>
      </c>
      <c r="B16" s="14" t="s">
        <v>174</v>
      </c>
      <c r="C16" s="14" t="s">
        <v>175</v>
      </c>
      <c r="D16" s="14" t="s">
        <v>65</v>
      </c>
      <c r="E16" s="14" t="s">
        <v>66</v>
      </c>
      <c r="F16" s="14" t="s">
        <v>66</v>
      </c>
      <c r="G16" s="14" t="s">
        <v>67</v>
      </c>
      <c r="H16" s="14" t="s">
        <v>176</v>
      </c>
      <c r="I16" s="14" t="s">
        <v>177</v>
      </c>
      <c r="J16" s="14" t="s">
        <v>178</v>
      </c>
      <c r="K16" s="14" t="s">
        <v>96</v>
      </c>
      <c r="L16" s="14" t="s">
        <v>72</v>
      </c>
      <c r="M16" s="14" t="s">
        <v>179</v>
      </c>
      <c r="N16" s="15"/>
    </row>
    <row r="17" ht="121" customHeight="1" spans="1:14">
      <c r="A17" s="14" t="s">
        <v>180</v>
      </c>
      <c r="B17" s="14" t="s">
        <v>174</v>
      </c>
      <c r="C17" s="14" t="s">
        <v>181</v>
      </c>
      <c r="D17" s="14" t="s">
        <v>101</v>
      </c>
      <c r="E17" s="14" t="s">
        <v>66</v>
      </c>
      <c r="F17" s="14" t="s">
        <v>66</v>
      </c>
      <c r="G17" s="14" t="s">
        <v>67</v>
      </c>
      <c r="H17" s="14" t="s">
        <v>182</v>
      </c>
      <c r="I17" s="14" t="s">
        <v>183</v>
      </c>
      <c r="J17" s="14" t="s">
        <v>184</v>
      </c>
      <c r="K17" s="14" t="s">
        <v>185</v>
      </c>
      <c r="L17" s="14" t="s">
        <v>72</v>
      </c>
      <c r="M17" s="14" t="s">
        <v>186</v>
      </c>
      <c r="N17" s="15"/>
    </row>
    <row r="18" ht="150" customHeight="1" spans="1:14">
      <c r="A18" s="14" t="s">
        <v>187</v>
      </c>
      <c r="B18" s="14" t="s">
        <v>174</v>
      </c>
      <c r="C18" s="14" t="s">
        <v>188</v>
      </c>
      <c r="D18" s="14" t="s">
        <v>101</v>
      </c>
      <c r="E18" s="14" t="s">
        <v>66</v>
      </c>
      <c r="F18" s="14" t="s">
        <v>66</v>
      </c>
      <c r="G18" s="14" t="s">
        <v>160</v>
      </c>
      <c r="H18" s="14" t="s">
        <v>189</v>
      </c>
      <c r="I18" s="14" t="s">
        <v>190</v>
      </c>
      <c r="J18" s="14" t="s">
        <v>191</v>
      </c>
      <c r="K18" s="14" t="s">
        <v>192</v>
      </c>
      <c r="L18" s="14" t="s">
        <v>82</v>
      </c>
      <c r="M18" s="14" t="s">
        <v>193</v>
      </c>
      <c r="N18" s="15"/>
    </row>
    <row r="19" ht="106" customHeight="1" spans="1:14">
      <c r="A19" s="14" t="s">
        <v>194</v>
      </c>
      <c r="B19" s="14" t="s">
        <v>195</v>
      </c>
      <c r="C19" s="14" t="s">
        <v>196</v>
      </c>
      <c r="D19" s="14" t="s">
        <v>101</v>
      </c>
      <c r="E19" s="14" t="s">
        <v>66</v>
      </c>
      <c r="F19" s="14" t="s">
        <v>66</v>
      </c>
      <c r="G19" s="14" t="s">
        <v>67</v>
      </c>
      <c r="H19" s="14" t="s">
        <v>197</v>
      </c>
      <c r="I19" s="14" t="s">
        <v>198</v>
      </c>
      <c r="J19" s="14" t="s">
        <v>199</v>
      </c>
      <c r="K19" s="14" t="s">
        <v>200</v>
      </c>
      <c r="L19" s="14" t="s">
        <v>72</v>
      </c>
      <c r="M19" s="14" t="s">
        <v>201</v>
      </c>
      <c r="N19" s="15"/>
    </row>
    <row r="20" ht="106" customHeight="1" spans="1:14">
      <c r="A20" s="14" t="s">
        <v>202</v>
      </c>
      <c r="B20" s="14" t="s">
        <v>195</v>
      </c>
      <c r="C20" s="14" t="s">
        <v>203</v>
      </c>
      <c r="D20" s="14" t="s">
        <v>76</v>
      </c>
      <c r="E20" s="14" t="s">
        <v>66</v>
      </c>
      <c r="F20" s="14" t="s">
        <v>66</v>
      </c>
      <c r="G20" s="14" t="s">
        <v>67</v>
      </c>
      <c r="H20" s="14" t="s">
        <v>204</v>
      </c>
      <c r="I20" s="14" t="s">
        <v>205</v>
      </c>
      <c r="J20" s="14" t="s">
        <v>206</v>
      </c>
      <c r="K20" s="14" t="s">
        <v>207</v>
      </c>
      <c r="L20" s="14" t="s">
        <v>72</v>
      </c>
      <c r="M20" s="14" t="s">
        <v>208</v>
      </c>
      <c r="N20" s="15"/>
    </row>
    <row r="21" ht="106" customHeight="1" spans="1:14">
      <c r="A21" s="14" t="s">
        <v>209</v>
      </c>
      <c r="B21" s="14" t="s">
        <v>210</v>
      </c>
      <c r="C21" s="14" t="s">
        <v>211</v>
      </c>
      <c r="D21" s="14" t="s">
        <v>101</v>
      </c>
      <c r="E21" s="14" t="s">
        <v>66</v>
      </c>
      <c r="F21" s="14" t="s">
        <v>66</v>
      </c>
      <c r="G21" s="14" t="s">
        <v>67</v>
      </c>
      <c r="H21" s="14" t="s">
        <v>68</v>
      </c>
      <c r="I21" s="14" t="s">
        <v>212</v>
      </c>
      <c r="J21" s="14" t="s">
        <v>213</v>
      </c>
      <c r="K21" s="14" t="s">
        <v>119</v>
      </c>
      <c r="L21" s="14" t="s">
        <v>72</v>
      </c>
      <c r="M21" s="14" t="s">
        <v>214</v>
      </c>
      <c r="N21" s="15"/>
    </row>
    <row r="22" ht="150" customHeight="1" spans="1:14">
      <c r="A22" s="14" t="s">
        <v>215</v>
      </c>
      <c r="B22" s="14" t="s">
        <v>210</v>
      </c>
      <c r="C22" s="14" t="s">
        <v>216</v>
      </c>
      <c r="D22" s="14" t="s">
        <v>101</v>
      </c>
      <c r="E22" s="14" t="s">
        <v>66</v>
      </c>
      <c r="F22" s="14" t="s">
        <v>66</v>
      </c>
      <c r="G22" s="14" t="s">
        <v>160</v>
      </c>
      <c r="H22" s="14" t="s">
        <v>161</v>
      </c>
      <c r="I22" s="14" t="s">
        <v>217</v>
      </c>
      <c r="J22" s="14" t="s">
        <v>218</v>
      </c>
      <c r="K22" s="14" t="s">
        <v>164</v>
      </c>
      <c r="L22" s="14" t="s">
        <v>91</v>
      </c>
      <c r="M22" s="14" t="s">
        <v>219</v>
      </c>
      <c r="N22" s="15"/>
    </row>
    <row r="23" ht="106" customHeight="1" spans="1:14">
      <c r="A23" s="14" t="s">
        <v>220</v>
      </c>
      <c r="B23" s="14" t="s">
        <v>221</v>
      </c>
      <c r="C23" s="14" t="s">
        <v>222</v>
      </c>
      <c r="D23" s="14" t="s">
        <v>65</v>
      </c>
      <c r="E23" s="14" t="s">
        <v>66</v>
      </c>
      <c r="F23" s="14" t="s">
        <v>66</v>
      </c>
      <c r="G23" s="14" t="s">
        <v>67</v>
      </c>
      <c r="H23" s="14" t="s">
        <v>223</v>
      </c>
      <c r="I23" s="14" t="s">
        <v>224</v>
      </c>
      <c r="J23" s="14" t="s">
        <v>225</v>
      </c>
      <c r="K23" s="14" t="s">
        <v>226</v>
      </c>
      <c r="L23" s="14" t="s">
        <v>72</v>
      </c>
      <c r="M23" s="14" t="s">
        <v>227</v>
      </c>
      <c r="N23" s="15"/>
    </row>
    <row r="24" ht="150" customHeight="1" spans="1:14">
      <c r="A24" s="14" t="s">
        <v>228</v>
      </c>
      <c r="B24" s="14" t="s">
        <v>221</v>
      </c>
      <c r="C24" s="14" t="s">
        <v>229</v>
      </c>
      <c r="D24" s="14" t="s">
        <v>101</v>
      </c>
      <c r="E24" s="14" t="s">
        <v>66</v>
      </c>
      <c r="F24" s="14" t="s">
        <v>66</v>
      </c>
      <c r="G24" s="14" t="s">
        <v>160</v>
      </c>
      <c r="H24" s="14" t="s">
        <v>168</v>
      </c>
      <c r="I24" s="14" t="s">
        <v>230</v>
      </c>
      <c r="J24" s="14" t="s">
        <v>231</v>
      </c>
      <c r="K24" s="14" t="s">
        <v>192</v>
      </c>
      <c r="L24" s="14" t="s">
        <v>82</v>
      </c>
      <c r="M24" s="14" t="s">
        <v>219</v>
      </c>
      <c r="N24" s="15"/>
    </row>
    <row r="25" ht="135" customHeight="1" spans="1:14">
      <c r="A25" s="14" t="s">
        <v>232</v>
      </c>
      <c r="B25" s="14" t="s">
        <v>174</v>
      </c>
      <c r="C25" s="14" t="s">
        <v>233</v>
      </c>
      <c r="D25" s="14" t="s">
        <v>65</v>
      </c>
      <c r="E25" s="14" t="s">
        <v>66</v>
      </c>
      <c r="F25" s="14" t="s">
        <v>66</v>
      </c>
      <c r="G25" s="14" t="s">
        <v>67</v>
      </c>
      <c r="H25" s="14" t="s">
        <v>234</v>
      </c>
      <c r="I25" s="14" t="s">
        <v>235</v>
      </c>
      <c r="J25" s="14" t="s">
        <v>236</v>
      </c>
      <c r="K25" s="14" t="s">
        <v>237</v>
      </c>
      <c r="L25" s="14" t="s">
        <v>72</v>
      </c>
      <c r="M25" s="14" t="s">
        <v>238</v>
      </c>
      <c r="N25" s="15"/>
    </row>
    <row r="26" spans="1:1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1:1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</row>
    <row r="28" spans="1:1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5"/>
    </row>
    <row r="29" spans="1:1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5"/>
    </row>
    <row r="30" spans="1:1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5"/>
    </row>
    <row r="31" spans="1:1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5"/>
    </row>
    <row r="32" spans="1:1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</row>
    <row r="33" spans="1:1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5"/>
    </row>
    <row r="34" spans="1:1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5"/>
    </row>
    <row r="35" spans="1:1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/>
    </row>
    <row r="36" spans="1:1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</row>
    <row r="37" spans="1:1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5"/>
    </row>
    <row r="38" spans="1:1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5"/>
    </row>
    <row r="39" spans="1:14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</row>
    <row r="40" spans="1:14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5"/>
    </row>
    <row r="41" spans="1:1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5"/>
    </row>
    <row r="42" spans="1:14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5"/>
    </row>
    <row r="43" spans="1:14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5"/>
    </row>
    <row r="44" spans="1:1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5"/>
    </row>
    <row r="45" spans="1:14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5"/>
    </row>
    <row r="46" spans="1:14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5"/>
    </row>
    <row r="47" spans="1:14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5"/>
    </row>
    <row r="48" spans="1:14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5"/>
    </row>
    <row r="49" spans="1:14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5"/>
    </row>
    <row r="50" spans="1:14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5"/>
    </row>
    <row r="51" spans="1:14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5"/>
    </row>
    <row r="52" spans="1:14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5"/>
    </row>
    <row r="53" spans="1:14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5"/>
    </row>
    <row r="54" spans="1:1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5"/>
    </row>
    <row r="55" spans="1:1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5"/>
    </row>
    <row r="56" spans="1:1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5"/>
    </row>
    <row r="57" spans="1:1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5"/>
    </row>
    <row r="58" spans="1:14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5"/>
    </row>
    <row r="59" spans="1:14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5"/>
    </row>
    <row r="60" spans="1:1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5"/>
    </row>
    <row r="61" spans="1:14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5"/>
    </row>
    <row r="62" spans="1:14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5"/>
    </row>
    <row r="63" spans="1:14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5"/>
    </row>
    <row r="64" spans="1:1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5"/>
    </row>
    <row r="65" spans="1:14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5"/>
    </row>
    <row r="66" spans="1:14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5"/>
    </row>
    <row r="67" spans="1:14">
      <c r="L67" s="14"/>
    </row>
    <row r="68" spans="1:14">
      <c r="L68" s="14"/>
    </row>
    <row r="69" spans="1:14">
      <c r="L69" s="14"/>
    </row>
    <row r="70" spans="1:14">
      <c r="L70" s="14"/>
    </row>
    <row r="71" spans="1:14">
      <c r="L71" s="14"/>
    </row>
    <row r="72" spans="1:14">
      <c r="L72" s="14"/>
    </row>
    <row r="73" spans="1:14">
      <c r="L73" s="14"/>
    </row>
    <row r="74" spans="1:14">
      <c r="L74" s="14"/>
    </row>
    <row r="75" spans="1:14">
      <c r="L75" s="14"/>
    </row>
    <row r="76" spans="1:14">
      <c r="L76" s="14"/>
    </row>
    <row r="77" spans="1:14">
      <c r="L77" s="14"/>
    </row>
    <row r="78" spans="1:14">
      <c r="L78" s="14"/>
    </row>
    <row r="79" spans="1:14">
      <c r="L79" s="14"/>
    </row>
    <row r="80" spans="1:14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  <row r="12386" spans="12:12">
      <c r="L12386" s="14"/>
    </row>
    <row r="12387" spans="12:12">
      <c r="L12387" s="14"/>
    </row>
    <row r="12388" spans="12:12">
      <c r="L12388" s="14"/>
    </row>
    <row r="12389" spans="12:12">
      <c r="L12389" s="14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11.6296296296296" defaultRowHeight="15.75" outlineLevelCol="2"/>
  <cols>
    <col min="1" max="1" width="4.62962962962963" style="1" customWidth="1"/>
    <col min="2" max="2" width="67.6296296296296" style="1" customWidth="1"/>
    <col min="3" max="16384" width="11.6296296296296" style="1"/>
  </cols>
  <sheetData>
    <row r="1" spans="1:3">
      <c r="A1" s="2" t="s">
        <v>239</v>
      </c>
      <c r="B1" s="2"/>
      <c r="C1" s="3"/>
    </row>
    <row r="2" ht="27.75" spans="1:3">
      <c r="A2" s="4">
        <v>1</v>
      </c>
      <c r="B2" s="5" t="s">
        <v>240</v>
      </c>
      <c r="C2" s="3"/>
    </row>
    <row r="3" spans="1:3">
      <c r="A3" s="4">
        <v>2</v>
      </c>
      <c r="B3" s="5" t="s">
        <v>241</v>
      </c>
      <c r="C3" s="3"/>
    </row>
    <row r="4" ht="41.65" spans="1:3">
      <c r="A4" s="4">
        <v>3</v>
      </c>
      <c r="B4" s="5" t="s">
        <v>242</v>
      </c>
      <c r="C4" s="3"/>
    </row>
    <row r="5" ht="27.4" spans="1:3">
      <c r="A5" s="4">
        <v>4</v>
      </c>
      <c r="B5" s="5" t="s">
        <v>243</v>
      </c>
      <c r="C5" s="3"/>
    </row>
    <row r="6" ht="33" customHeight="1" spans="1:3">
      <c r="A6" s="4">
        <v>5</v>
      </c>
      <c r="B6" s="5" t="s">
        <v>244</v>
      </c>
      <c r="C6" s="3"/>
    </row>
    <row r="7" ht="41.65" spans="1:3">
      <c r="A7" s="4">
        <v>6</v>
      </c>
      <c r="B7" s="5" t="s">
        <v>245</v>
      </c>
      <c r="C7" s="3"/>
    </row>
    <row r="8" spans="1:3">
      <c r="A8" s="4">
        <v>7</v>
      </c>
      <c r="B8" s="5" t="s">
        <v>246</v>
      </c>
      <c r="C8" s="3"/>
    </row>
    <row r="9" spans="1:3">
      <c r="A9" s="6">
        <v>8</v>
      </c>
      <c r="B9" s="7" t="s">
        <v>247</v>
      </c>
      <c r="C9" s="3"/>
    </row>
    <row r="10" ht="73.5" customHeight="1" spans="1:3">
      <c r="A10" s="6">
        <v>9</v>
      </c>
      <c r="B10" s="7" t="s">
        <v>248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WPS_1668154218</cp:lastModifiedBy>
  <dcterms:created xsi:type="dcterms:W3CDTF">2026-09-11T01:06:22Z</dcterms:created>
  <dcterms:modified xsi:type="dcterms:W3CDTF">2026-09-11T01:11:29Z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0FE882F4FA9D428CB780594B1C4A2300_12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