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4c22c604f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c434041bc7be4974"/>
    <x:sheet xmlns:r="http://schemas.openxmlformats.org/officeDocument/2006/relationships" name="Test Cases测试用例" sheetId="2" r:id="Rf1deff87a3514d91"/>
    <x:sheet xmlns:r="http://schemas.openxmlformats.org/officeDocument/2006/relationships" name="Introduction使用说明" sheetId="3" r:id="R53ad0d29658747f6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<x:sst xmlns:x="http://schemas.openxmlformats.org/spreadsheetml/2006/main">
  <x:si>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t xml:space="preserve">Test  Case Form </x:t>
    </x:r>
    <x:r>
      <x:rPr>
        <x:b/>
        <x:sz val="18"/>
        <x:rFont val="宋体"/>
        <x:family val="3"/>
      </x:rPr>
      <x:t xml:space="preserve">测试用例表单</x:t>
    </x:r>
  </x:si>
  <x:si>
    <x:r>
      <x:t xml:space="preserve">General Information </x:t>
    </x:r>
    <x:r>
      <x:rPr>
        <x:sz val="12"/>
        <x:rFont val="宋体"/>
        <x:family val="3"/>
      </x:rPr>
      <x:t xml:space="preserve">基本信息</x:t>
    </x:r>
  </x:si>
  <x:si>
    <x:r>
      <x:t xml:space="preserve">Product Verion </x:t>
    </x:r>
    <x:r>
      <x:rPr>
        <x:sz val="12"/>
        <x:rFont val="宋体"/>
        <x:family val="3"/>
      </x:rPr>
      <x:t xml:space="preserve">产品版本</x:t>
    </x:r>
  </x:si>
  <x:si>
    <x:r>
      <x:t xml:space="preserve">Confidentiality level </x:t>
    </x:r>
    <x:r>
      <x:rPr>
        <x:sz val="12"/>
        <x:rFont val="宋体"/>
        <x:family val="3"/>
      </x:rPr>
      <x:t xml:space="preserve">密级</x:t>
    </x:r>
  </x:si>
  <x:si>
    <x:r>
      <x:t xml:space="preserve">Project Name </x:t>
    </x:r>
    <x:r>
      <x:rPr>
        <x:sz val="12"/>
        <x:rFont val="宋体"/>
        <x:family val="3"/>
      </x:rPr>
      <x:t xml:space="preserve">项目名称</x:t>
    </x:r>
  </x:si>
  <x:si>
    <x:r>
      <x:t xml:space="preserve">Project ID </x:t>
    </x:r>
    <x:r>
      <x:rPr>
        <x:sz val="12"/>
        <x:rFont val="宋体"/>
        <x:family val="3"/>
      </x:rPr>
      <x:t xml:space="preserve">项目</x:t>
    </x:r>
    <x:r>
      <x:rPr>
        <x:sz val="12"/>
        <x:rFont val="Times New Roman"/>
        <x:family val="1"/>
      </x:rPr>
      <x:t xml:space="preserve">ID</x:t>
    </x:r>
  </x:si>
  <x:si>
    <x:r>
      <x:t xml:space="preserve">Prepared by </x:t>
    </x:r>
    <x:r>
      <x:rPr>
        <x:sz val="12"/>
        <x:rFont val="宋体"/>
        <x:family val="3"/>
      </x:rPr>
      <x:t xml:space="preserve">拟制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</x:si>
  <x:si>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</x:si>
  <x:si>
    <x:r>
      <x:t xml:space="preserve">Reviewed by </x:t>
    </x:r>
    <x:r>
      <x:rPr>
        <x:sz val="12"/>
        <x:rFont val="宋体"/>
        <x:family val="3"/>
      </x:rPr>
      <x:t xml:space="preserve">评审人</x:t>
    </x:r>
  </x:si>
  <x:si>
    <x:t xml:space="preserve"> </x:t>
  </x:si>
  <x:si>
    <x:r>
      <x:t xml:space="preserve">Approved by </x:t>
    </x:r>
    <x:r>
      <x:rPr>
        <x:sz val="12"/>
        <x:rFont val="宋体"/>
        <x:family val="3"/>
      </x:rPr>
      <x:t xml:space="preserve">批准</x:t>
    </x:r>
  </x:si>
  <x:si>
    <x:r>
      <x:t xml:space="preserve">Number of Test cases </x:t>
    </x:r>
    <x:r>
      <x:rPr>
        <x:sz val="12"/>
        <x:rFont val="宋体"/>
        <x:family val="3"/>
      </x:rPr>
      <x:t xml:space="preserve">测试用例数</x:t>
    </x:r>
  </x:si>
  <x:si>
    <x:r>
      <x:t xml:space="preserve">Introduction </x:t>
    </x:r>
    <x:r>
      <x:rPr>
        <x:sz val="12"/>
        <x:rFont val="宋体"/>
        <x:family val="3"/>
      </x:rPr>
      <x:t xml:space="preserve">概述</x:t>
    </x:r>
  </x:si>
  <x:si>
    <x:r>
      <x:t xml:space="preserve">Revision Record </x:t>
    </x:r>
    <x:r>
      <x:rPr>
        <x:sz val="12"/>
        <x:rFont val="宋体"/>
        <x:family val="3"/>
      </x:rPr>
      <x:t xml:space="preserve">修订记录</x:t>
    </x:r>
  </x:si>
  <x:si>
    <x:r>
      <x:t xml:space="preserve">Date </x:t>
    </x:r>
    <x:r>
      <x:rPr>
        <x:sz val="12"/>
        <x:rFont val="宋体"/>
        <x:family val="3"/>
      </x:rPr>
      <x:t xml:space="preserve">日期</x:t>
    </x:r>
    <x:r>
      <x:rPr>
        <x:sz val="12"/>
        <x:rFont val="Times New Roman"/>
        <x:family val="1"/>
      </x:rPr>
      <x:t xml:space="preserve"> </x:t>
    </x:r>
  </x:si>
  <x:si>
    <x:r>
      <x:t xml:space="preserve">Revision Version </x:t>
    </x:r>
    <x:r>
      <x:rPr>
        <x:sz val="12"/>
        <x:rFont val="宋体"/>
        <x:family val="3"/>
      </x:rPr>
      <x:t xml:space="preserve">修订</x:t>
    </x:r>
    <x:r>
      <x:rPr>
        <x:sz val="12"/>
        <x:rFont val="Times New Roman"/>
        <x:family val="1"/>
      </x:rPr>
      <x:t xml:space="preserve"> </x:t>
    </x:r>
    <x:r>
      <x:rPr>
        <x:sz val="12"/>
        <x:rFont val="宋体"/>
        <x:family val="3"/>
      </x:rPr>
      <x:t xml:space="preserve">版本</x:t>
    </x:r>
  </x:si>
  <x:si>
    <x:r>
      <x:t xml:space="preserve">CR ID / Defect ID CR</x:t>
    </x:r>
    <x:r>
      <x:rPr>
        <x:sz val="12"/>
        <x:rFont val="宋体"/>
        <x:family val="3"/>
      </x:rPr>
      <x:t xml:space="preserve">号</x:t>
    </x:r>
  </x:si>
  <x:si>
    <x:r>
      <x:t xml:space="preserve">Change Description </x:t>
    </x:r>
    <x:r>
      <x:rPr>
        <x:sz val="12"/>
        <x:rFont val="宋体"/>
        <x:family val="3"/>
      </x:rPr>
      <x:t xml:space="preserve">修改描述</x:t>
    </x:r>
  </x:si>
  <x:si>
    <x:r>
      <x:t xml:space="preserve">Author </x:t>
    </x:r>
    <x:r>
      <x:rPr>
        <x:sz val="12"/>
        <x:rFont val="宋体"/>
        <x:family val="3"/>
      </x:rPr>
      <x:t xml:space="preserve">作者</x:t>
    </x:r>
  </x:si>
  <x:si>
    <x:t xml:space="preserve">yyyy.mm.dd</x:t>
  </x:si>
  <x:si>
    <x:t xml:space="preserve">xxx</x:t>
  </x:si>
  <x:si>
    <x:r>
      <x:t xml:space="preserve">revised xxx </x:t>
    </x:r>
    <x:r>
      <x:rPr>
        <x:sz val="12"/>
        <x:rFont val="宋体"/>
        <x:family val="3"/>
      </x:rPr>
      <x:t xml:space="preserve">修改</x:t>
    </x:r>
    <x:r>
      <x:rPr>
        <x:sz val="12"/>
        <x:rFont val="Times New Roman"/>
        <x:family val="1"/>
      </x:rPr>
      <x:t xml:space="preserve">XXX Xxx Xxx ...</x:t>
    </x:r>
  </x:si>
  <x:si>
    <x:r>
      <x:t xml:space="preserve">Name </x:t>
    </x:r>
    <x:r>
      <x:rPr>
        <x:sz val="12"/>
        <x:rFont val="宋体"/>
        <x:family val="3"/>
      </x:rPr>
      <x:t xml:space="preserve">作者名</x:t>
    </x:r>
  </x:si>
  <x:si>
    <x:t xml:space="preserve">……</x:t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</x:si>
  <x:si>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</x:si>
  <x:si>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</x:si>
  <x:si>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</x:si>
  <x:si>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</x:si>
  <x:si>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&lt;T.M.B&amp;C.P.M&gt;</x:t>
  </x:si>
  <x:si>
    <x:t xml:space="preserve">&lt;Project Manager&gt;</x:t>
  </x:si>
  <x:si>
    <x:t xml:space="preserve">&lt;Team members&gt;</x:t>
  </x:si>
  <x:si>
    <x:t xml:space="preserve">&lt;Customer Representative&gt;</x:t>
  </x:si>
  <x:si>
    <x:t xml:space="preserve">&lt;Others&gt;</x:t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</x:si>
  <x:si>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</x:si>
  <x:si>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</x:si>
  <x:si>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</x:si>
  <x:si>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</x:si>
  <x:si>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</x:si>
  <x:si>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</x:si>
  <x:si>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</x:si>
  <x:si>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</x:si>
  <x:si>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</x:si>
  <x:si>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</x:si>
  <x:si>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t xml:space="preserve">Test Case ID </x:t>
    </x:r>
    <x:r>
      <x:rPr>
        <x:b/>
        <x:sz val="12"/>
        <x:rFont val="宋体"/>
        <x:family val="3"/>
      </x:rPr>
      <x:t xml:space="preserve">测试用例编号</x:t>
    </x:r>
  </x:si>
  <x:si>
    <x:r>
      <x:t xml:space="preserve">Test Item </x:t>
    </x:r>
    <x:r>
      <x:rPr>
        <x:b/>
        <x:sz val="12"/>
        <x:rFont val="宋体"/>
        <x:family val="3"/>
      </x:rPr>
      <x:t xml:space="preserve">测试项（即功能模块或函数）</x:t>
    </x:r>
  </x:si>
  <x:si>
    <x:r>
      <x:t xml:space="preserve">Test Case Title </x:t>
    </x:r>
    <x:r>
      <x:rPr>
        <x:b/>
        <x:sz val="12"/>
        <x:rFont val="宋体"/>
        <x:family val="3"/>
      </x:rPr>
      <x:t xml:space="preserve">测试用例标题</x:t>
    </x:r>
  </x:si>
  <x:si>
    <x:r>
      <x:t xml:space="preserve">Test Criticality</x:t>
    </x:r>
    <x:r>
      <x:rPr>
        <x:b/>
        <x:sz val="12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</x:si>
  <x:si>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</x:si>
  <x:si>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</x:si>
  <x:si>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t xml:space="preserve">Pre-condition </x:t>
    </x:r>
    <x:r>
      <x:rPr>
        <x:b/>
        <x:sz val="12"/>
        <x:rFont val="宋体"/>
        <x:family val="3"/>
      </x:rPr>
      <x:t xml:space="preserve">预置条件</x:t>
    </x:r>
  </x:si>
  <x:si>
    <x:r>
      <x:t xml:space="preserve">Input </x:t>
    </x:r>
    <x:r>
      <x:rPr>
        <x:b/>
        <x:sz val="12"/>
        <x:rFont val="宋体"/>
        <x:family val="3"/>
      </x:rPr>
      <x:t xml:space="preserve">输入</x:t>
    </x:r>
  </x:si>
  <x:si>
    <x:r>
      <x:t xml:space="preserve">Procedure </x:t>
    </x:r>
    <x:r>
      <x:rPr>
        <x:b/>
        <x:sz val="12"/>
        <x:rFont val="宋体"/>
        <x:family val="3"/>
      </x:rPr>
      <x:t xml:space="preserve">操作步骤</x:t>
    </x:r>
  </x:si>
  <x:si>
    <x:r>
      <x:t xml:space="preserve">Output </x:t>
    </x:r>
    <x:r>
      <x:rPr>
        <x:b/>
        <x:sz val="12"/>
        <x:rFont val="宋体"/>
        <x:family val="3"/>
      </x:rPr>
      <x:t xml:space="preserve">预期结果</x:t>
    </x:r>
  </x:si>
  <x:si>
    <x:r>
      <x:t xml:space="preserve">Result
</x:t>
    </x:r>
    <x:r>
      <x:rPr>
        <x:b/>
        <x:sz val="12"/>
        <x:rFont val="宋体"/>
        <x:family val="3"/>
      </x:rPr>
      <x:t xml:space="preserve">实际结果</x:t>
    </x:r>
  </x:si>
  <x:si>
    <x:r>
      <x:t xml:space="preserve">Status
</x:t>
    </x:r>
    <x:r>
      <x:rPr>
        <x:b/>
        <x:sz val="12"/>
        <x:rFont val="宋体"/>
        <x:family val="3"/>
      </x:rPr>
      <x:t xml:space="preserve">是否通过</x:t>
    </x:r>
  </x:si>
  <x:si>
    <x:r>
      <x:t xml:space="preserve">Remark </x:t>
    </x:r>
    <x:r>
      <x:rPr>
        <x:b/>
        <x:sz val="12"/>
        <x:rFont val="宋体"/>
        <x:family val="3"/>
      </x:rPr>
      <x:t xml:space="preserve">备注</x:t>
    </x:r>
    <x:r>
      <x:rPr>
        <x:b/>
        <x:sz val="12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</x:si>
  <x:si>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</x:si>
  <x:si>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</x:si>
  <x:si>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</x:si>
  <x:si>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</x:si>
  <x:si>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t xml:space="preserve">Introduction </x:t>
    </x:r>
    <x:r>
      <x:rPr>
        <x:b/>
        <x:sz val="12"/>
        <x:rFont val="宋体"/>
        <x:family val="3"/>
      </x:rPr>
      <x:t xml:space="preserve">使用说明</x:t>
    </x:r>
  </x:si>
  <x:si>
    <x:r>
      <x:t xml:space="preserve">There are two sheets in the Test Case Form. One is "Information", the other is "Test Cases" sheet. </x:t>
    </x:r>
    <x:r>
      <x:rPr>
        <x:sz val="11"/>
        <x:rFont val="宋体"/>
        <x:family val="3"/>
      </x:rPr>
      <x:t xml:space="preserve">测试用例表包含两个表单：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基本信息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表单。</x:t>
    </x:r>
  </x:si>
  <x:si>
    <x:r>
      <x:t xml:space="preserve">The test cases can be multilevel. </x:t>
    </x:r>
    <x:r>
      <x:rPr>
        <x:sz val="11"/>
        <x:rFont val="宋体"/>
        <x:family val="3"/>
      </x:rPr>
      <x:t xml:space="preserve">本测试用例模板支持分层。</x:t>
    </x:r>
  </x:si>
  <x:si>
    <x:r>
      <x:t xml:space="preserve">If project need multilevel, they can add column beside "test item" and "test case" column at "Test Cases" sheet. </x:t>
    </x:r>
    <x:r>
      <x:rPr>
        <x:sz val="11"/>
        <x:rFont val="宋体"/>
        <x:family val="3"/>
      </x:rPr>
      <x:t xml:space="preserve">项目组如果需要多级分层，可在</x:t>
    </x:r>
    <x:r>
      <x:rPr>
        <x:sz val="11"/>
        <x:rFont val="Times New Roman"/>
        <x:family val="1"/>
      </x:rPr>
      <x:t xml:space="preserve">“Test cases”</x:t>
    </x:r>
    <x:r>
      <x:rPr>
        <x:sz val="11"/>
        <x:rFont val="宋体"/>
        <x:family val="3"/>
      </x:rPr>
      <x:t xml:space="preserve">页面中的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测试用例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之间增加列。例如增加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测试子项</x:t>
    </x:r>
    <x:r>
      <x:rPr>
        <x:sz val="11"/>
        <x:rFont val="Times New Roman"/>
        <x:family val="1"/>
      </x:rPr>
      <x:t xml:space="preserve">”</x:t>
    </x:r>
    <x:r>
      <x:rPr>
        <x:sz val="11"/>
        <x:rFont val="宋体"/>
        <x:family val="3"/>
      </x:rPr>
      <x:t xml:space="preserve">。</x:t>
    </x:r>
  </x:si>
  <x:si>
    <x:r>
      <x:t xml:space="preserve">The number of test cases is low level test cases' number, it is automatic calculate. </x:t>
    </x:r>
    <x:r>
      <x:rPr>
        <x:sz val="11"/>
        <x:rFont val="宋体"/>
        <x:family val="3"/>
      </x:rPr>
      <x:t xml:space="preserve">测试用例的统计使用小测试用例统计，自动统计。</x:t>
    </x:r>
  </x:si>
  <x:si>
    <x:r>
      <x:t xml:space="preserve">The Test Case Form should not use as test record. </x:t>
    </x:r>
    <x:r>
      <x:rPr>
        <x:sz val="11"/>
        <x:rFont val="宋体"/>
        <x:family val="3"/>
      </x:rPr>
      <x:t xml:space="preserve">本测试用例表单不能作为测试记录使用。</x:t>
    </x:r>
  </x:si>
  <x:si>
    <x:r>
      <x:t xml:space="preserve">Test cases ID shall follow the ID rules defined in Test strategy. For example,"Project ID-UT(IT,ST)-nnn". </x:t>
    </x:r>
    <x:r>
      <x:rPr>
        <x:sz val="11"/>
        <x:rFont val="宋体"/>
        <x:family val="3"/>
      </x:rPr>
      <x:t xml:space="preserve">测试用例的编号应符合测试策略中对编号规则的要求。例如，</x:t>
    </x:r>
    <x:r>
      <x:rPr>
        <x:sz val="11"/>
        <x:rFont val="Times New Roman"/>
        <x:family val="1"/>
      </x:rPr>
      <x:t xml:space="preserve">“</x:t>
    </x:r>
    <x:r>
      <x:rPr>
        <x:sz val="11"/>
        <x:rFont val="宋体"/>
        <x:family val="3"/>
      </x:rPr>
      <x:t xml:space="preserve">项目编码</x:t>
    </x:r>
    <x:r>
      <x:rPr>
        <x:sz val="11"/>
        <x:rFont val="Times New Roman"/>
        <x:family val="1"/>
      </x:rPr>
      <x:t xml:space="preserve"> -UT</x:t>
    </x:r>
    <x:r>
      <x:rPr>
        <x:sz val="11"/>
        <x:rFont val="宋体"/>
        <x:family val="3"/>
      </x:rPr>
      <x:t xml:space="preserve">（或</x:t>
    </x:r>
    <x:r>
      <x:rPr>
        <x:sz val="11"/>
        <x:rFont val="Times New Roman"/>
        <x:family val="1"/>
      </x:rPr>
      <x:t xml:space="preserve">IT</x:t>
    </x:r>
    <x:r>
      <x:rPr>
        <x:sz val="11"/>
        <x:rFont val="宋体"/>
        <x:family val="3"/>
      </x:rPr>
      <x:t xml:space="preserve">，</x:t>
    </x:r>
    <x:r>
      <x:rPr>
        <x:sz val="11"/>
        <x:rFont val="Times New Roman"/>
        <x:family val="1"/>
      </x:rPr>
      <x:t xml:space="preserve">ST</x:t>
    </x:r>
    <x:r>
      <x:rPr>
        <x:sz val="11"/>
        <x:rFont val="宋体"/>
        <x:family val="3"/>
      </x:rPr>
      <x:t xml:space="preserve">）</x:t>
    </x:r>
    <x:r>
      <x:rPr>
        <x:sz val="11"/>
        <x:rFont val="Times New Roman"/>
        <x:family val="1"/>
      </x:rPr>
      <x:t xml:space="preserve">-nnn”</x:t>
    </x:r>
    <x:r>
      <x:rPr>
        <x:sz val="11"/>
        <x:rFont val="宋体"/>
        <x:family val="3"/>
      </x:rPr>
      <x:t xml:space="preserve">。</x:t>
    </x:r>
  </x:si>
  <x:si>
    <x:r>
      <x:t xml:space="preserve">Test Criticality</x:t>
    </x:r>
    <x:r>
      <x:rPr>
        <x:sz val="11"/>
        <x:rFont val="宋体"/>
        <x:family val="3"/>
      </x:rPr>
      <x:t xml:space="preserve">重要级别定义为：</x:t>
    </x:r>
    <x:r>
      <x:rPr>
        <x:sz val="11"/>
        <x:rFont val="Times New Roman"/>
        <x:family val="1"/>
      </x:rPr>
      <x:t xml:space="preserve">Specify High/Medium/Low.</x:t>
    </x:r>
    <x:r>
      <x:rPr>
        <x:sz val="11"/>
        <x:rFont val="宋体"/>
        <x:family val="3"/>
      </x:rPr>
      <x:t xml:space="preserve">描述测试用例的重要级别：高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中</x:t>
    </x:r>
    <x:r>
      <x:rPr>
        <x:sz val="11"/>
        <x:rFont val="Times New Roman"/>
        <x:family val="1"/>
      </x:rPr>
      <x:t xml:space="preserve">/</x:t>
    </x:r>
    <x:r>
      <x:rPr>
        <x:sz val="11"/>
        <x:rFont val="宋体"/>
        <x:family val="3"/>
      </x:rPr>
      <x:t xml:space="preserve">低</x:t>
    </x:r>
    <x:r>
      <x:rPr>
        <x:sz val="11"/>
        <x:rFont val="Times New Roman"/>
        <x:family val="1"/>
      </x:rPr>
      <x:t xml:space="preserve">.</x:t>
    </x:r>
  </x:si>
  <x:si>
    <x:r>
      <x:t xml:space="preserve">Output </x:t>
    </x:r>
    <x:r>
      <x:rPr>
        <x:sz val="11"/>
        <x:rFont val="宋体"/>
        <x:family val="3"/>
      </x:rPr>
      <x:t xml:space="preserve">预期输出：</x:t>
    </x:r>
    <x:r>
      <x:rPr>
        <x:sz val="11"/>
        <x:rFont val="Times New Roman"/>
        <x:family val="1"/>
      </x:rPr>
      <x:t xml:space="preserve">Provide the expected result after performing the test</x:t>
    </x:r>
    <x:r>
      <x:rPr>
        <x:sz val="11"/>
        <x:rFont val="宋体"/>
        <x:family val="3"/>
      </x:rPr>
      <x:t xml:space="preserve">提供测试执行的预期结果</x:t>
    </x:r>
  </x:si>
  <x:si>
    <x:r>
      <x:t xml:space="preserve">R</x:t>
    </x:r>
    <x:r>
      <x:rPr>
        <x:sz val="12"/>
        <x:rFont val="Times New Roman"/>
        <x:family val="1"/>
      </x:rPr>
      <x:t xml:space="preserve">esult </x:t>
    </x:r>
    <x:r>
      <x:rPr>
        <x:sz val="12"/>
        <x:rFont val="宋体"/>
        <x:family val="3"/>
      </x:rPr>
      <x:t xml:space="preserve">实际输出</x:t>
    </x:r>
    <x:r>
      <x:rPr>
        <x:sz val="12"/>
        <x:rFont val="Times New Roman"/>
        <x:family val="1"/>
      </x:rPr>
      <x:t xml:space="preserve">:Provide the result after performing the test</x:t>
    </x:r>
    <x:r>
      <x:rPr>
        <x:sz val="12"/>
        <x:rFont val="宋体"/>
        <x:family val="3"/>
      </x:rPr>
      <x:t xml:space="preserve">提供测试结果
</x:t>
    </x:r>
    <x:r>
      <x:rPr>
        <x:sz val="12"/>
        <x:rFont val="Times New Roman"/>
        <x:family val="1"/>
      </x:rPr>
      <x:t xml:space="preserve">OK:</x:t>
    </x:r>
    <x:r>
      <x:rPr>
        <x:sz val="12"/>
        <x:rFont val="宋体"/>
        <x:family val="3"/>
      </x:rPr>
      <x:t xml:space="preserve">测试通过
</x:t>
    </x:r>
    <x:r>
      <x:rPr>
        <x:sz val="12"/>
        <x:rFont val="Times New Roman"/>
        <x:family val="1"/>
      </x:rPr>
      <x:t xml:space="preserve">POK:</x:t>
    </x:r>
    <x:r>
      <x:rPr>
        <x:sz val="12"/>
        <x:rFont val="宋体"/>
        <x:family val="3"/>
      </x:rPr>
      <x:t xml:space="preserve">部分通过
</x:t>
    </x:r>
    <x:r>
      <x:rPr>
        <x:sz val="12"/>
        <x:rFont val="Times New Roman"/>
        <x:family val="1"/>
      </x:rPr>
      <x:t xml:space="preserve">NG:</x:t>
    </x:r>
    <x:r>
      <x:rPr>
        <x:sz val="12"/>
        <x:rFont val="宋体"/>
        <x:family val="3"/>
      </x:rPr>
      <x:t xml:space="preserve">不能通过
</x:t>
    </x:r>
    <x:r>
      <x:rPr>
        <x:sz val="12"/>
        <x:rFont val="Times New Roman"/>
        <x:family val="1"/>
      </x:rPr>
      <x:t xml:space="preserve">NT:</x:t>
    </x:r>
    <x:r>
      <x:rPr>
        <x:sz val="12"/>
        <x:rFont val="宋体"/>
        <x:family val="3"/>
      </x:rPr>
      <x:t xml:space="preserve">测试用例错误</x:t>
    </x:r>
    <x:r>
      <x:rPr>
        <x:sz val="12"/>
        <x:rFont val="Times New Roman"/>
        <x:family val="1"/>
      </x:rPr>
      <x:t xml:space="preserve">,</x:t>
    </x:r>
    <x:r>
      <x:rPr>
        <x:sz val="12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</x:si>
</x:sst>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2">
    <x:numFmt numFmtId="176" formatCode="yy\.mm\.dd"/>
    <x:numFmt numFmtId="177" formatCode="yyyy\.mm\.dd"/>
  </x:numFmts>
  <x:fonts count="15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308cc5c754d73" /><Relationship Type="http://schemas.openxmlformats.org/officeDocument/2006/relationships/theme" Target="/xl/theme/theme1.xml" Id="R6274a138a9414503" /><Relationship Type="http://schemas.openxmlformats.org/officeDocument/2006/relationships/sharedStrings" Target="/xl/sharedStrings.xml" Id="Rf31cfd06ee034854" /><Relationship Type="http://schemas.openxmlformats.org/officeDocument/2006/relationships/worksheet" Target="/xl/worksheets/sheet1.xml" Id="Rc434041bc7be4974" /><Relationship Type="http://schemas.openxmlformats.org/officeDocument/2006/relationships/worksheet" Target="/xl/worksheets/sheet2.xml" Id="Rf1deff87a3514d91" /><Relationship Type="http://schemas.openxmlformats.org/officeDocument/2006/relationships/worksheet" Target="/xl/worksheets/sheet3.xml" Id="R53ad0d29658747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e49ab2485f9448e" /><Relationship Type="http://schemas.openxmlformats.org/officeDocument/2006/relationships/chart" Target="/xl/drawings/charts/chart1.xml" Id="R72afee4301a34c1f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afee4301a34c1f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49ab2485f9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ac7d7bdf164f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11" t="str">
        <x:v>textstat 0.7.7</x:v>
      </x:c>
      <x:c r="F7" s="11"/>
      <x:c r="G7" s="9" t="s">
        <x:v>3</x:v>
      </x:c>
      <x:c r="H7" s="9"/>
      <x:c r="I7" s="9"/>
      <x:c r="J7" s="11" t="str">
        <x:v>内部</x:v>
      </x:c>
      <x:c r="K7" s="11"/>
      <x:c r="L7" s="10"/>
    </x:row>
    <x:row r="8" ht="16.200000762939453">
      <x:c r="B8" s="9" t="s">
        <x:v>4</x:v>
      </x:c>
      <x:c r="C8" s="9"/>
      <x:c r="D8" s="9"/>
      <x:c r="E8" s="11" t="str">
        <x:v>textstat 模块二（AI 测）· 计数与预处理部分</x:v>
      </x:c>
      <x:c r="F8" s="11"/>
      <x:c r="G8" s="9" t="s">
        <x:v>5</x:v>
      </x:c>
      <x:c r="H8" s="9"/>
      <x:c r="I8" s="9"/>
      <x:c r="J8" s="11" t="str">
        <x:v>TEXTSTAT-M2-COUNT</x:v>
      </x:c>
      <x:c r="K8" s="11"/>
      <x:c r="L8" s="10"/>
    </x:row>
    <x:row r="9" ht="16.200000762939453">
      <x:c r="B9" s="9" t="s">
        <x:v>6</x:v>
      </x:c>
      <x:c r="C9" s="9"/>
      <x:c r="D9" s="9"/>
      <x:c r="E9" s="11" t="str">
        <x:v>管映涵（成员 A）</x:v>
      </x:c>
      <x:c r="F9" s="11"/>
      <x:c r="G9" s="9" t="s">
        <x:v>7</x:v>
      </x:c>
      <x:c r="H9" s="9"/>
      <x:c r="I9" s="9"/>
      <x:c r="J9" s="11" t="str">
        <x:v>2026.09.18</x:v>
      </x:c>
      <x:c r="K9" s="11"/>
      <x:c r="L9" s="10"/>
    </x:row>
    <x:row r="10" ht="16.200000762939453">
      <x:c r="B10" s="9" t="s">
        <x:v>8</x:v>
      </x:c>
      <x:c r="C10" s="9"/>
      <x:c r="D10" s="9"/>
      <x:c r="E10" s="11" t="s">
        <x:v>9</x:v>
      </x:c>
      <x:c r="F10" s="11"/>
      <x:c r="G10" s="9" t="s">
        <x:v>7</x:v>
      </x:c>
      <x:c r="H10" s="9"/>
      <x:c r="I10" s="9"/>
      <x:c r="J10" s="11" t="s">
        <x:v>9</x:v>
      </x:c>
      <x:c r="K10" s="11"/>
      <x:c r="L10" s="10"/>
    </x:row>
    <x:row r="11" ht="16.200000762939453">
      <x:c r="B11" s="9" t="s">
        <x:v>10</x:v>
      </x:c>
      <x:c r="C11" s="9"/>
      <x:c r="D11" s="9"/>
      <x:c r="E11" s="11" t="s">
        <x:v>9</x:v>
      </x:c>
      <x:c r="F11" s="11"/>
      <x:c r="G11" s="9" t="s">
        <x:v>7</x:v>
      </x:c>
      <x:c r="H11" s="9"/>
      <x:c r="I11" s="9"/>
      <x:c r="J11" s="11" t="s">
        <x:v>9</x:v>
      </x:c>
      <x:c r="K11" s="11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11</x:v>
      </x:c>
      <x:c r="C13" s="9"/>
      <x:c r="D13" s="9"/>
      <x:c r="E13" s="13" t="n">
        <x:f>65535-COUNTBLANK('Test Cases测试用例'!A:A)</x:f>
        <x:v>65492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12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 ht="18.899999618530273" customHeight="1">
      <x:c r="B16" s="4" t="str">
        <x:v>本表为模块二（方案二：AI 测）中计数与预处理部分的 AI 生成用例清单，共 22 条，与模块一用例完全不重复：输入采用长难句与复杂标点、德语法语俄语匈牙利语等多语言实例、CJK 与 emoji 混排、数字与单位、以及 5 条不变量/性质测试。设计方法以场景法、等价类（字符集/语言）和性质测试为主，边界值为辅。首轮执行：17 条通过、5 条失败，对应 4 类新缺陷（M2-D1 汉字计入字母、M2-D2 全角标点、M2-D3 emoji 码点、M2-D5 复杂句切分）。</x:v>
      </x:c>
      <x:c r="C16" s="14"/>
      <x:c r="D16" s="11"/>
      <x:c r="E16" s="11"/>
      <x:c r="F16" s="11"/>
      <x:c r="G16" s="11"/>
      <x:c r="H16" s="11"/>
      <x:c r="I16" s="11"/>
      <x:c r="J16" s="11"/>
      <x:c r="K16" s="11"/>
      <x:c r="L16" s="10"/>
    </x:row>
    <x:row r="17" ht="3.9000000953674316" customHeight="1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 ht="16.200000762939453">
      <x:c r="B18" s="9" t="s">
        <x:v>13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14</x:v>
      </x:c>
      <x:c r="C19" s="15" t="s">
        <x:v>15</x:v>
      </x:c>
      <x:c r="D19" s="15" t="s">
        <x:v>16</x:v>
      </x:c>
      <x:c r="E19" s="16" t="s">
        <x:v>17</x:v>
      </x:c>
      <x:c r="F19" s="16"/>
      <x:c r="G19" s="16"/>
      <x:c r="H19" s="16"/>
      <x:c r="I19" s="16"/>
      <x:c r="J19" s="16"/>
      <x:c r="K19" s="15" t="s">
        <x:v>18</x:v>
      </x:c>
      <x:c r="L19" s="10"/>
    </x:row>
    <x:row r="20" ht="16.200000762939453">
      <x:c r="B20" s="17" t="str">
        <x:v>2026.09.18</x:v>
      </x:c>
      <x:c r="C20" s="18" t="str">
        <x:v>1.00</x:v>
      </x:c>
      <x:c r="D20" s="11" t="str">
        <x:v>-</x:v>
      </x:c>
      <x:c r="E20" s="11" t="str">
        <x:v>initial 初稿完成：AI 生成模块二（计数部分）用例 22 条</x:v>
      </x:c>
      <x:c r="F20" s="11"/>
      <x:c r="G20" s="11"/>
      <x:c r="H20" s="11"/>
      <x:c r="I20" s="11"/>
      <x:c r="J20" s="11"/>
      <x:c r="K20" s="11" t="str">
        <x:v>管映涵</x:v>
      </x:c>
      <x:c r="L20" s="10"/>
    </x:row>
    <x:row r="21" ht="16.200000762939453">
      <x:c r="B21" s="17" t="s">
        <x:v>19</x:v>
      </x:c>
      <x:c r="C21" s="18">
        <x:v>1.01</x:v>
      </x:c>
      <x:c r="D21" s="11" t="s">
        <x:v>20</x:v>
      </x:c>
      <x:c r="E21" s="11" t="s">
        <x:v>21</x:v>
      </x:c>
      <x:c r="F21" s="11"/>
      <x:c r="G21" s="11"/>
      <x:c r="H21" s="11"/>
      <x:c r="I21" s="11"/>
      <x:c r="J21" s="11"/>
      <x:c r="K21" s="11" t="s">
        <x:v>22</x:v>
      </x:c>
      <x:c r="L21" s="10"/>
    </x:row>
    <x:row r="22" ht="16.200000762939453">
      <x:c r="B22" s="17"/>
      <x:c r="C22" s="18"/>
      <x:c r="D22" s="11" t="s">
        <x:v>20</x:v>
      </x:c>
      <x:c r="E22" s="11" t="s">
        <x:v>21</x:v>
      </x:c>
      <x:c r="F22" s="11"/>
      <x:c r="G22" s="11"/>
      <x:c r="H22" s="11"/>
      <x:c r="I22" s="11"/>
      <x:c r="J22" s="11"/>
      <x:c r="K22" s="11" t="s">
        <x:v>22</x:v>
      </x:c>
      <x:c r="L22" s="10"/>
    </x:row>
    <x:row r="23" ht="16.200000762939453">
      <x:c r="B23" s="17" t="s">
        <x:v>19</x:v>
      </x:c>
      <x:c r="C23" s="18">
        <x:v>1.02</x:v>
      </x:c>
      <x:c r="D23" s="11" t="s">
        <x:v>20</x:v>
      </x:c>
      <x:c r="E23" s="11" t="s">
        <x:v>21</x:v>
      </x:c>
      <x:c r="F23" s="11"/>
      <x:c r="G23" s="11"/>
      <x:c r="H23" s="11"/>
      <x:c r="I23" s="11"/>
      <x:c r="J23" s="11"/>
      <x:c r="K23" s="11" t="s">
        <x:v>22</x:v>
      </x:c>
      <x:c r="L23" s="10"/>
    </x:row>
    <x:row r="24" ht="16.200000762939453">
      <x:c r="B24" s="17" t="s">
        <x:v>23</x:v>
      </x:c>
      <x:c r="C24" s="18" t="s">
        <x:v>23</x:v>
      </x:c>
      <x:c r="D24" s="19" t="s">
        <x:v>23</x:v>
      </x:c>
      <x:c r="E24" s="11" t="s">
        <x:v>23</x:v>
      </x:c>
      <x:c r="F24" s="11"/>
      <x:c r="G24" s="11"/>
      <x:c r="H24" s="11"/>
      <x:c r="I24" s="11"/>
      <x:c r="J24" s="11"/>
      <x:c r="K24" s="11" t="s">
        <x:v>22</x:v>
      </x:c>
      <x:c r="L24" s="10"/>
    </x:row>
    <x:row r="25" ht="16.200000762939453">
      <x:c r="B25" s="17" t="s">
        <x:v>19</x:v>
      </x:c>
      <x:c r="C25" s="18">
        <x:v>2</x:v>
      </x:c>
      <x:c r="D25" s="11" t="s">
        <x:v>20</x:v>
      </x:c>
      <x:c r="E25" s="11" t="s">
        <x:v>21</x:v>
      </x:c>
      <x:c r="F25" s="11"/>
      <x:c r="G25" s="11"/>
      <x:c r="H25" s="11"/>
      <x:c r="I25" s="11"/>
      <x:c r="J25" s="11"/>
      <x:c r="K25" s="11" t="s">
        <x:v>23</x:v>
      </x:c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24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25</x:v>
      </x:c>
      <x:c r="C28" s="9" t="s">
        <x:v>26</x:v>
      </x:c>
      <x:c r="D28" s="9"/>
      <x:c r="E28" s="9"/>
      <x:c r="F28" s="9"/>
      <x:c r="G28" s="9"/>
      <x:c r="H28" s="9"/>
      <x:c r="I28" s="9"/>
      <x:c r="J28" s="9" t="s">
        <x:v>27</x:v>
      </x:c>
      <x:c r="K28" s="9"/>
      <x:c r="L28" s="10"/>
    </x:row>
    <x:row r="29">
      <x:c r="B29" s="11">
        <x:v>1</x:v>
      </x:c>
      <x:c r="C29" s="11" t="s">
        <x:v>28</x:v>
      </x:c>
      <x:c r="D29" s="11"/>
      <x:c r="E29" s="11"/>
      <x:c r="F29" s="11"/>
      <x:c r="G29" s="11"/>
      <x:c r="H29" s="11"/>
      <x:c r="I29" s="11"/>
      <x:c r="J29" s="17" t="s">
        <x:v>19</x:v>
      </x:c>
      <x:c r="K29" s="17"/>
      <x:c r="L29" s="10"/>
    </x:row>
    <x:row r="30">
      <x:c r="B30" s="11">
        <x:v>2</x:v>
      </x:c>
      <x:c r="C30" s="11" t="s">
        <x:v>29</x:v>
      </x:c>
      <x:c r="D30" s="11"/>
      <x:c r="E30" s="11"/>
      <x:c r="F30" s="11"/>
      <x:c r="G30" s="11"/>
      <x:c r="H30" s="11"/>
      <x:c r="I30" s="11"/>
      <x:c r="J30" s="17" t="s">
        <x:v>19</x:v>
      </x:c>
      <x:c r="K30" s="17"/>
      <x:c r="L30" s="10"/>
    </x:row>
    <x:row r="31">
      <x:c r="B31" s="11">
        <x:v>3</x:v>
      </x:c>
      <x:c r="C31" s="11" t="s">
        <x:v>30</x:v>
      </x:c>
      <x:c r="D31" s="11"/>
      <x:c r="E31" s="11"/>
      <x:c r="F31" s="11"/>
      <x:c r="G31" s="11"/>
      <x:c r="H31" s="11"/>
      <x:c r="I31" s="11"/>
      <x:c r="J31" s="17" t="s">
        <x:v>19</x:v>
      </x:c>
      <x:c r="K31" s="17"/>
      <x:c r="L31" s="10"/>
    </x:row>
    <x:row r="32">
      <x:c r="B32" s="11">
        <x:v>4</x:v>
      </x:c>
      <x:c r="C32" s="11" t="s">
        <x:v>31</x:v>
      </x:c>
      <x:c r="D32" s="11"/>
      <x:c r="E32" s="11"/>
      <x:c r="F32" s="11"/>
      <x:c r="G32" s="11"/>
      <x:c r="H32" s="11"/>
      <x:c r="I32" s="11"/>
      <x:c r="J32" s="17" t="s">
        <x:v>19</x:v>
      </x:c>
      <x:c r="K32" s="17"/>
      <x:c r="L32" s="10"/>
    </x:row>
    <x:row r="33">
      <x:c r="B33" s="21">
        <x:v>5</x:v>
      </x:c>
      <x:c r="C33" s="22" t="s">
        <x:v>32</x:v>
      </x:c>
      <x:c r="D33" s="22"/>
      <x:c r="E33" s="22"/>
      <x:c r="F33" s="22"/>
      <x:c r="G33" s="22"/>
      <x:c r="H33" s="22"/>
      <x:c r="I33" s="22"/>
      <x:c r="J33" s="23" t="s">
        <x:v>19</x:v>
      </x:c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33</x:v>
      </x:c>
      <x:c r="C37" s="52"/>
      <x:c r="D37" s="52"/>
      <x:c r="E37" s="53"/>
    </x:row>
    <x:row r="38" ht="16.200000762939453">
      <x:c r="B38" s="28" t="s">
        <x:v>34</x:v>
      </x:c>
      <x:c r="C38" s="29" t="n">
        <x:f>IF($E$13=0,0,COUNTIF('Test Cases测试用例'!$L:$L,"=OK"))</x:f>
        <x:v>16</x:v>
      </x:c>
      <x:c r="D38" s="28" t="s">
        <x:v>35</x:v>
      </x:c>
      <x:c r="E38" s="30" t="n">
        <x:f>IF(E13=0,0,C38/E13)</x:f>
        <x:v>0.00024430464789592624</x:v>
      </x:c>
    </x:row>
    <x:row r="39" ht="16.200000762939453">
      <x:c r="B39" s="28" t="s">
        <x:v>36</x:v>
      </x:c>
      <x:c r="C39" s="29" t="n">
        <x:f>IF($E$13=0,0,COUNTIF('Test Cases测试用例'!$L:$L,"=POK"))</x:f>
        <x:v>0</x:v>
      </x:c>
      <x:c r="D39" s="28" t="s">
        <x:v>37</x:v>
      </x:c>
      <x:c r="E39" s="30" t="n">
        <x:f>IF(E13=0,0,C39/E13)</x:f>
        <x:v>0</x:v>
      </x:c>
    </x:row>
    <x:row r="40" ht="16.200000762939453">
      <x:c r="B40" s="28" t="s">
        <x:v>38</x:v>
      </x:c>
      <x:c r="C40" s="29" t="n">
        <x:f>IF($E$13=0,0,COUNTIF('Test Cases测试用例'!$L:$L,"=NG"))</x:f>
        <x:v>6</x:v>
      </x:c>
      <x:c r="D40" s="28" t="s">
        <x:v>39</x:v>
      </x:c>
      <x:c r="E40" s="30" t="n">
        <x:f>IF(E13=0,0,C40/E13)</x:f>
        <x:v>0.00009161424296097234</x:v>
      </x:c>
    </x:row>
    <x:row r="41" ht="16.200000762939453">
      <x:c r="B41" s="31" t="s">
        <x:v>40</x:v>
      </x:c>
      <x:c r="C41" s="32" t="n">
        <x:f>IF($E$13=0,0,COUNTIF('Test Cases测试用例'!$L:$L,"=NT"))</x:f>
        <x:v>0</x:v>
      </x:c>
      <x:c r="D41" s="31" t="s">
        <x:v>41</x:v>
      </x:c>
      <x:c r="E41" s="33" t="n">
        <x:f>IF(E13=0,0,C41/E13)</x:f>
        <x:v>0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42</x:v>
      </x:c>
      <x:c r="C43" s="54" t="n">
        <x:f>E13</x:f>
        <x:v>65492</x:v>
      </x:c>
      <x:c r="D43" s="55"/>
      <x:c r="E43" s="56"/>
    </x:row>
  </x:sheetData>
  <x:mergeCells>
    <x:mergeCell ref="B37:E37"/>
    <x:mergeCell ref="C43:E43"/>
  </x:mergeCells>
  <x:pageMargins left="0.7" right="0.7" top="0.75" bottom="0.75" header="0.3" footer="0.3"/>
  <x:drawing xmlns:r="http://schemas.openxmlformats.org/officeDocument/2006/relationships" r:id="Ra4ac7d7bdf164f1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1.1796875" style="44" customWidth="1"/>
    <x:col min="8" max="8" width="12.81640625" style="44" customWidth="1"/>
    <x:col min="9" max="9" width="14.453125" style="44" customWidth="1"/>
    <x:col min="10" max="10" width="16.453125" style="44" customWidth="1"/>
    <x:col min="11" max="11" width="11.81640625" style="44" customWidth="1"/>
    <x:col min="12" max="12" width="11" style="44" customWidth="1"/>
    <x:col min="13" max="13" width="20.90625" style="44" customWidth="1"/>
    <x:col min="14" max="14" width="3.453125" style="41" hidden="1" customWidth="1"/>
    <x:col min="15" max="16384" width="11.6328125" style="41" customWidth="0"/>
  </x:cols>
  <x:sheetData>
    <x:row r="1" ht="48">
      <x:c r="A1" s="38" t="s">
        <x:v>43</x:v>
      </x:c>
      <x:c r="B1" s="38" t="s">
        <x:v>44</x:v>
      </x:c>
      <x:c r="C1" s="38" t="s">
        <x:v>45</x:v>
      </x:c>
      <x:c r="D1" s="38" t="s">
        <x:v>46</x:v>
      </x:c>
      <x:c r="E1" s="50" t="s">
        <x:v>47</x:v>
      </x:c>
      <x:c r="F1" s="50" t="s">
        <x:v>48</x:v>
      </x:c>
      <x:c r="G1" s="38" t="s">
        <x:v>49</x:v>
      </x:c>
      <x:c r="H1" s="38" t="s">
        <x:v>50</x:v>
      </x:c>
      <x:c r="I1" s="38" t="s">
        <x:v>51</x:v>
      </x:c>
      <x:c r="J1" s="38" t="s">
        <x:v>52</x:v>
      </x:c>
      <x:c r="K1" s="38" t="s">
        <x:v>53</x:v>
      </x:c>
      <x:c r="L1" s="38" t="s">
        <x:v>54</x:v>
      </x:c>
      <x:c r="M1" s="38" t="s">
        <x:v>55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135" customHeight="1">
      <x:c r="A2" s="42" t="str">
        <x:v>TC-M2-001</x:v>
      </x:c>
      <x:c r="B2" s="42" t="str">
        <x:v>sentence_count（长难句）</x:v>
      </x:c>
      <x:c r="C2" s="42" t="str">
        <x:v>嵌套从句 + 破折号 + 分号的长难句仍应算 1 句</x:v>
      </x:c>
      <x:c r="D2" s="42" t="str">
        <x:v>高</x:v>
      </x:c>
      <x:c r="E2" s="42" t="str">
        <x:v>是</x:v>
      </x:c>
      <x:c r="F2" s="42" t="str">
        <x:v>是</x:v>
      </x:c>
      <x:c r="G2" s="42" t="str">
        <x:v>环境：Python 3.11.4 + textstat 0.7.7（assignment 分支，含模块一缺陷修复）+ cmudict/pyphen；命令：.venv\Scripts\python -m pytest assignment/module2/tests/count -v。</x:v>
      </x:c>
      <x:c r="H2" s="42" t="str">
        <x:v>Although the committee had already reviewed the proposal — which, according to Dr. Smith (the lead author, e.g. the principal investigator), was "substantially incomplete" — they decided to postpone the vote; consequently, the project timeline slipped by three weeks.</x:v>
      </x:c>
      <x:c r="I2" s="42" t="str">
        <x:v>调用 sentence_count(长难句)，记录返回值。</x:v>
      </x:c>
      <x:c r="J2" s="42" t="str">
        <x:v>1（整句只有一个句末句号；破折号、分号不是句末标点）</x:v>
      </x:c>
      <x:c r="K2" s="42" t="str">
        <x:v>3</x:v>
      </x:c>
      <x:c r="L2" s="42" t="str">
        <x:v>NG</x:v>
      </x:c>
      <x:c r="M2" s="42" t="str">
        <x:v>【成员A】场景法 + 复杂标点；缺陷 M2-D5（模块一 A3 修复未覆盖复杂句）</x:v>
      </x:c>
      <x:c r="N2" s="43" t="s">
        <x:v>56</x:v>
      </x:c>
    </x:row>
    <x:row r="3" ht="92" customHeight="1">
      <x:c r="A3" s="42" t="str">
        <x:v>TC-M2-002</x:v>
      </x:c>
      <x:c r="B3" s="42" t="str">
        <x:v>sentence_count（复杂标点）</x:v>
      </x:c>
      <x:c r="C3" s="42" t="str">
        <x:v>引号内的句号应正常断句</x:v>
      </x:c>
      <x:c r="D3" s="42" t="str">
        <x:v>中</x:v>
      </x:c>
      <x:c r="E3" s="42" t="str">
        <x:v>是</x:v>
      </x:c>
      <x:c r="F3" s="42" t="str">
        <x:v>是</x:v>
      </x:c>
      <x:c r="G3" s="42" t="str">
        <x:v>环境：Python 3.11.4 + textstat 0.7.7（assignment 分支，含模块一缺陷修复）+ cmudict/pyphen；命令：.venv\Scripts\python -m pytest assignment/module2/tests/count -v。</x:v>
      </x:c>
      <x:c r="H3" s="42" t="str">
        <x:v>He said "It is fine." Then he left.</x:v>
      </x:c>
      <x:c r="I3" s="42" t="str">
        <x:v>调用 sentence_count，记录返回值。</x:v>
      </x:c>
      <x:c r="J3" s="42" t="str">
        <x:v>2（引号内的句点结束第一句）</x:v>
      </x:c>
      <x:c r="K3" s="42" t="str">
        <x:v>2</x:v>
      </x:c>
      <x:c r="L3" s="42" t="str">
        <x:v>OK</x:v>
      </x:c>
      <x:c r="M3" s="42" t="str">
        <x:v>【成员A】等价类：引号包裹句末标点</x:v>
      </x:c>
      <x:c r="N3" s="43" t="s">
        <x:v>57</x:v>
      </x:c>
    </x:row>
    <x:row r="4" ht="92" customHeight="1">
      <x:c r="A4" s="42" t="str">
        <x:v>TC-M2-003</x:v>
      </x:c>
      <x:c r="B4" s="42" t="str">
        <x:v>sentence_count（复杂标点）</x:v>
      </x:c>
      <x:c r="C4" s="42" t="str">
        <x:v>括号与破折号嵌套的句子仍算 1 句</x:v>
      </x:c>
      <x:c r="D4" t="str">
        <x:v>中</x:v>
      </x:c>
      <x:c r="E4" s="42" t="str">
        <x:v>是</x:v>
      </x:c>
      <x:c r="F4" s="42" t="str">
        <x:v>是</x:v>
      </x:c>
      <x:c r="G4" s="42" t="str">
        <x:v>环境：Python 3.11.4 + textstat 0.7.7（assignment 分支，含模块一缺陷修复）+ cmudict/pyphen；命令：.venv\Scripts\python -m pytest assignment/module2/tests/count -v。</x:v>
      </x:c>
      <x:c r="H4" s="42" t="str">
        <x:v>The results (which were surprising — at least to us) were published.</x:v>
      </x:c>
      <x:c r="I4" s="42" t="str">
        <x:v>调用 sentence_count，记录返回值。</x:v>
      </x:c>
      <x:c r="J4" s="42" t="str">
        <x:v>1</x:v>
      </x:c>
      <x:c r="K4" s="42" t="str">
        <x:v>1</x:v>
      </x:c>
      <x:c r="L4" s="42" t="str">
        <x:v>OK</x:v>
      </x:c>
      <x:c r="M4" s="42" t="str">
        <x:v>【成员A】等价类：括号与破折号嵌套</x:v>
      </x:c>
      <x:c r="N4" s="43" t="s">
        <x:v>58</x:v>
      </x:c>
    </x:row>
    <x:row r="5" ht="92" customHeight="1">
      <x:c r="A5" s="42" t="str">
        <x:v>TC-M2-004</x:v>
      </x:c>
      <x:c r="B5" s="42" t="str">
        <x:v>sentence_count（缩写）</x:v>
      </x:c>
      <x:c r="C5" s="42" t="str">
        <x:v>缩写密集的单句（Dr./e.g./i.e. + 括号）仍应算 1 句</x:v>
      </x:c>
      <x:c r="D5" s="42" t="str">
        <x:v>高</x:v>
      </x:c>
      <x:c r="E5" s="42" t="str">
        <x:v>是</x:v>
      </x:c>
      <x:c r="F5" s="42" t="str">
        <x:v>是</x:v>
      </x:c>
      <x:c r="G5" s="42" t="str">
        <x:v>环境：Python 3.11.4 + textstat 0.7.7（assignment 分支，含模块一缺陷修复）+ cmudict/pyphen；命令：.venv\Scripts\python -m pytest assignment/module2/tests/count -v。</x:v>
      </x:c>
      <x:c r="H5" s="42" t="str">
        <x:v>Dr. Smith (e.g. the lead author, i.e. the principal investigator) approved it.</x:v>
      </x:c>
      <x:c r="I5" s="42" t="str">
        <x:v>调用 sentence_count，记录返回值。</x:v>
      </x:c>
      <x:c r="J5" s="42" t="str">
        <x:v>1（句中缩写与括号不应产生句末边界）</x:v>
      </x:c>
      <x:c r="K5" s="42" t="str">
        <x:v>3</x:v>
      </x:c>
      <x:c r="L5" s="42" t="str">
        <x:v>NG</x:v>
      </x:c>
      <x:c r="M5" s="42" t="str">
        <x:v>【成员A】边界：缩写密集；缺陷 M2-D5</x:v>
      </x:c>
      <x:c r="N5" s="43" t="s">
        <x:v>59</x:v>
      </x:c>
    </x:row>
    <x:row r="6" ht="92" customHeight="1">
      <x:c r="A6" s="42" t="str">
        <x:v>TC-M2-005</x:v>
      </x:c>
      <x:c r="B6" s="42" t="str">
        <x:v>lexicon_count / syllable_count（长文本）</x:v>
      </x:c>
      <x:c r="C6" s="42" t="str">
        <x:v>长难句的词数与音节数应完整计入</x:v>
      </x:c>
      <x:c r="D6" s="42" t="str">
        <x:v>中</x:v>
      </x:c>
      <x:c r="E6" s="42" t="str">
        <x:v>是</x:v>
      </x:c>
      <x:c r="F6" s="42" t="str">
        <x:v>是</x:v>
      </x:c>
      <x:c r="G6" s="42" t="str">
        <x:v>环境：Python 3.11.4 + textstat 0.7.7（assignment 分支，含模块一缺陷修复）+ cmudict/pyphen；命令：.venv\Scripts\python -m pytest assignment/module2/tests/count -v。</x:v>
      </x:c>
      <x:c r="H6" s="42" t="str">
        <x:v>同 TC-M2-001 的长难句</x:v>
      </x:c>
      <x:c r="I6" s="42" t="str">
        <x:v>分别调用 lexicon_count 与 syllable_count，记录返回值。</x:v>
      </x:c>
      <x:c r="J6" s="42" t="str">
        <x:v>词数 37、音节数 67（长文本不得被截断统计）</x:v>
      </x:c>
      <x:c r="K6" s="42" t="str">
        <x:v>37 / 67</x:v>
      </x:c>
      <x:c r="L6" s="42" t="str">
        <x:v>OK</x:v>
      </x:c>
      <x:c r="M6" s="42" t="str">
        <x:v>【成员A】性质测试：全量统计（长度不影响完整性）</x:v>
      </x:c>
      <x:c r="N6" s="43"/>
    </x:row>
    <x:row r="7" ht="106" customHeight="1">
      <x:c r="A7" s="42" t="str">
        <x:v>TC-M2-006</x:v>
      </x:c>
      <x:c r="B7" s="42" t="str">
        <x:v>syllable_count（多语言）</x:v>
      </x:c>
      <x:c r="C7" s="42" t="str">
        <x:v>德语超长复合词的音节数（pyphen 断词）</x:v>
      </x:c>
      <x:c r="D7" s="42" t="str">
        <x:v>中</x:v>
      </x:c>
      <x:c r="E7" s="42" t="str">
        <x:v>是</x:v>
      </x:c>
      <x:c r="F7" s="42" t="str">
        <x:v>是</x:v>
      </x:c>
      <x:c r="G7" s="42" t="str">
        <x:v>环境：Python 3.11.4 + textstat 0.7.7（assignment 分支，含模块一缺陷修复）+ cmudict/pyphen；命令：.venv\Scripts\python -m pytest assignment/module2/tests/count -v。 语言：set_lang('de_DE')</x:v>
      </x:c>
      <x:c r="H7" s="42" t="str">
        <x:v>Lebensversicherungsgesellschaft</x:v>
      </x:c>
      <x:c r="I7" s="42" t="str">
        <x:v>调用 syllable_count，记录返回值。</x:v>
      </x:c>
      <x:c r="J7" s="42" t="str">
        <x:v>9（德语断词：Le-bens-ver-si-che-rungs-ge-sell-schaft；若误用英语断词只有 4）</x:v>
      </x:c>
      <x:c r="K7" s="42" t="str">
        <x:v>9</x:v>
      </x:c>
      <x:c r="L7" s="42" t="str">
        <x:v>OK</x:v>
      </x:c>
      <x:c r="M7" s="42" t="str">
        <x:v>【成员A】多语言等价类：德语长复合词 + 语言配置生效验证</x:v>
      </x:c>
      <x:c r="N7" s="43"/>
    </x:row>
    <x:row r="8" ht="106" customHeight="1">
      <x:c r="A8" s="42" t="str">
        <x:v>TC-M2-007</x:v>
      </x:c>
      <x:c r="B8" s="42" t="str">
        <x:v>lexicon_count（多语言）</x:v>
      </x:c>
      <x:c r="C8" s="42" t="str">
        <x:v>法语撇号与连字符文本的词数</x:v>
      </x:c>
      <x:c r="D8" s="42" t="str">
        <x:v>中</x:v>
      </x:c>
      <x:c r="E8" s="42" t="str">
        <x:v>是</x:v>
      </x:c>
      <x:c r="F8" s="42" t="str">
        <x:v>是</x:v>
      </x:c>
      <x:c r="G8" s="42" t="str">
        <x:v>环境：Python 3.11.4 + textstat 0.7.7（assignment 分支，含模块一缺陷修复）+ cmudict/pyphen；命令：.venv\Scripts\python -m pytest assignment/module2/tests/count -v。 语言：set_lang('fr_FR')</x:v>
      </x:c>
      <x:c r="H8" s="42" t="str">
        <x:v>L'école des enfants s'appelle Jean-Jacques.</x:v>
      </x:c>
      <x:c r="I8" s="42" t="str">
        <x:v>调用 lexicon_count，记录返回值。</x:v>
      </x:c>
      <x:c r="J8" s="42" t="str">
        <x:v>5（L'école / des / enfants / s'appelle / Jean-Jacques）</x:v>
      </x:c>
      <x:c r="K8" s="42" t="str">
        <x:v>5</x:v>
      </x:c>
      <x:c r="L8" s="42" t="str">
        <x:v>OK</x:v>
      </x:c>
      <x:c r="M8" s="42" t="str">
        <x:v>【成员A】多语言等价类：法语撇号与连字符</x:v>
      </x:c>
      <x:c r="N8" s="43"/>
    </x:row>
    <x:row r="9" ht="106" customHeight="1">
      <x:c r="A9" s="42" t="str">
        <x:v>TC-M2-008</x:v>
      </x:c>
      <x:c r="B9" s="42" t="str">
        <x:v>sentence_count（多语言）</x:v>
      </x:c>
      <x:c r="C9" s="42" t="str">
        <x:v>俄语书名号 «» 不影响断句</x:v>
      </x:c>
      <x:c r="D9" s="42" t="str">
        <x:v>中</x:v>
      </x:c>
      <x:c r="E9" s="42" t="str">
        <x:v>是</x:v>
      </x:c>
      <x:c r="F9" s="42" t="str">
        <x:v>是</x:v>
      </x:c>
      <x:c r="G9" s="42" t="str">
        <x:v>环境：Python 3.11.4 + textstat 0.7.7（assignment 分支，含模块一缺陷修复）+ cmudict/pyphen；命令：.venv\Scripts\python -m pytest assignment/module2/tests/count -v。 语言：set_lang('ru_RU')</x:v>
      </x:c>
      <x:c r="H9" s="42" t="str">
        <x:v>Игра «слова» была важной. Дети играли долго.</x:v>
      </x:c>
      <x:c r="I9" s="42" t="str">
        <x:v>调用 sentence_count，记录返回值。</x:v>
      </x:c>
      <x:c r="J9" s="42" t="str">
        <x:v>2（书名号不是句末标点）</x:v>
      </x:c>
      <x:c r="K9" s="42" t="str">
        <x:v>2</x:v>
      </x:c>
      <x:c r="L9" s="42" t="str">
        <x:v>OK</x:v>
      </x:c>
      <x:c r="M9" s="42" t="str">
        <x:v>【成员A】多语言等价类：俄语非 ASCII 标点</x:v>
      </x:c>
      <x:c r="N9" s="43"/>
    </x:row>
    <x:row r="10" ht="106" customHeight="1">
      <x:c r="A10" s="42" t="str">
        <x:v>TC-M2-009</x:v>
      </x:c>
      <x:c r="B10" s="42" t="str">
        <x:v>syllable_count（多语言）</x:v>
      </x:c>
      <x:c r="C10" s="42" t="str">
        <x:v>匈牙利语长词的音节数</x:v>
      </x:c>
      <x:c r="D10" s="42" t="str">
        <x:v>中</x:v>
      </x:c>
      <x:c r="E10" s="42" t="str">
        <x:v>是</x:v>
      </x:c>
      <x:c r="F10" s="42" t="str">
        <x:v>是</x:v>
      </x:c>
      <x:c r="G10" s="42" t="str">
        <x:v>环境：Python 3.11.4 + textstat 0.7.7（assignment 分支，含模块一缺陷修复）+ cmudict/pyphen；命令：.venv\Scripts\python -m pytest assignment/module2/tests/count -v。 语言：set_lang('hu_HU')</x:v>
      </x:c>
      <x:c r="H10" s="42" t="str">
        <x:v>Mondok neked egy nyelvtani fejtörőt.</x:v>
      </x:c>
      <x:c r="I10" s="42" t="str">
        <x:v>调用 syllable_count，记录返回值。</x:v>
      </x:c>
      <x:c r="J10" s="42" t="str">
        <x:v>11（按匈牙利语断词规则）</x:v>
      </x:c>
      <x:c r="K10" s="42" t="str">
        <x:v>11</x:v>
      </x:c>
      <x:c r="L10" s="42" t="str">
        <x:v>OK</x:v>
      </x:c>
      <x:c r="M10" s="42" t="str">
        <x:v>【成员A】多语言等价类：匈牙利语</x:v>
      </x:c>
      <x:c r="N10" s="43"/>
    </x:row>
    <x:row r="11" ht="92" customHeight="1">
      <x:c r="A11" s="42" t="str">
        <x:v>TC-M2-010</x:v>
      </x:c>
      <x:c r="B11" s="42" t="str">
        <x:v>syllable_count（语言配置）</x:v>
      </x:c>
      <x:c r="C11" s="42" t="str">
        <x:v>同一文本在不同语言配置下的音节数应不同</x:v>
      </x:c>
      <x:c r="D11" s="42" t="str">
        <x:v>高</x:v>
      </x:c>
      <x:c r="E11" s="42" t="str">
        <x:v>是</x:v>
      </x:c>
      <x:c r="F11" s="42" t="str">
        <x:v>是</x:v>
      </x:c>
      <x:c r="G11" s="42" t="str">
        <x:v>环境：Python 3.11.4 + textstat 0.7.7（assignment 分支，含模块一缺陷修复）+ cmudict/pyphen；命令：.venv\Scripts\python -m pytest assignment/module2/tests/count -v。</x:v>
      </x:c>
      <x:c r="H11" s="42" t="str">
        <x:v>Alle Parteien widmen dem Thema rein quantitativ betrachtet nennenswerte Aufmerksamkeit.（分别以 de_DE、en_US、es_ES 执行）</x:v>
      </x:c>
      <x:c r="I11" s="42" t="str">
        <x:v>依次 set_lang 三种语言后统计音节数，比较结果。</x:v>
      </x:c>
      <x:c r="J11" s="42" t="str">
        <x:v>26 / 19 / 24（三种配置互不相同）</x:v>
      </x:c>
      <x:c r="K11" s="42" t="str">
        <x:v>26 / 19 / 24</x:v>
      </x:c>
      <x:c r="L11" s="42" t="str">
        <x:v>OK</x:v>
      </x:c>
      <x:c r="M11" s="42" t="str">
        <x:v>【成员A】性质测试：语言配置必须影响计数结果</x:v>
      </x:c>
      <x:c r="N11" s="43"/>
    </x:row>
    <x:row r="12" ht="92" customHeight="1">
      <x:c r="A12" s="42" t="str">
        <x:v>TC-M2-011</x:v>
      </x:c>
      <x:c r="B12" s="42" t="str">
        <x:v>letter_count（字符集）</x:v>
      </x:c>
      <x:c r="C12" s="42" t="str">
        <x:v>中英混排文本只应统计英文字母</x:v>
      </x:c>
      <x:c r="D12" s="42" t="str">
        <x:v>高</x:v>
      </x:c>
      <x:c r="E12" s="42" t="str">
        <x:v>是</x:v>
      </x:c>
      <x:c r="F12" s="42" t="str">
        <x:v>是</x:v>
      </x:c>
      <x:c r="G12" s="42" t="str">
        <x:v>环境：Python 3.11.4 + textstat 0.7.7（assignment 分支，含模块一缺陷修复）+ cmudict/pyphen；命令：.venv\Scripts\python -m pytest assignment/module2/tests/count -v。</x:v>
      </x:c>
      <x:c r="H12" s="42" t="str">
        <x:v>今天天气abc</x:v>
      </x:c>
      <x:c r="I12" s="42" t="str">
        <x:v>调用 letter_count，记录返回值。</x:v>
      </x:c>
      <x:c r="J12" s="42" t="str">
        <x:v>3（只有 abc 是字母，汉字不是字母）</x:v>
      </x:c>
      <x:c r="K12" s="42" t="str">
        <x:v>7</x:v>
      </x:c>
      <x:c r="L12" s="42" t="str">
        <x:v>NG</x:v>
      </x:c>
      <x:c r="M12" s="42" t="str">
        <x:v>【成员A】等价类：CJK 字符集；缺陷 M2-D1（汉字被计入字母数）</x:v>
      </x:c>
      <x:c r="N12" s="43"/>
    </x:row>
    <x:row r="13" ht="92" customHeight="1">
      <x:c r="A13" s="42" t="str">
        <x:v>TC-M2-012</x:v>
      </x:c>
      <x:c r="B13" s="42" t="str">
        <x:v>char_count（字符集）</x:v>
      </x:c>
      <x:c r="C13" s="42" t="str">
        <x:v>emoji 组合序列（ZWJ）应按一个可见字符计数</x:v>
      </x:c>
      <x:c r="D13" s="42" t="str">
        <x:v>高</x:v>
      </x:c>
      <x:c r="E13" s="42" t="str">
        <x:v>是</x:v>
      </x:c>
      <x:c r="F13" s="42" t="str">
        <x:v>是</x:v>
      </x:c>
      <x:c r="G13" s="42" t="str">
        <x:v>环境：Python 3.11.4 + textstat 0.7.7（assignment 分支，含模块一缺陷修复）+ cmudict/pyphen；命令：.venv\Scripts\python -m pytest assignment/module2/tests/count -v。</x:v>
      </x:c>
      <x:c r="H13" s="42" t="str">
        <x:v>👨‍👩‍👧（一家三口 ZWJ 序列）</x:v>
      </x:c>
      <x:c r="I13" s="42" t="str">
        <x:v>调用 char_count，记录返回值。</x:v>
      </x:c>
      <x:c r="J13" s="42" t="str">
        <x:v>1（按字素簇计数，该 emoji 视觉上是一个字符）</x:v>
      </x:c>
      <x:c r="K13" s="42" t="str">
        <x:v>5</x:v>
      </x:c>
      <x:c r="L13" s="42" t="str">
        <x:v>NG</x:v>
      </x:c>
      <x:c r="M13" s="42" t="str">
        <x:v>【成员A】等价类：emoji/组合字符；缺陷 M2-D3（按码点计数）</x:v>
      </x:c>
      <x:c r="N13" s="43"/>
    </x:row>
    <x:row r="14" ht="92" customHeight="1">
      <x:c r="A14" s="42" t="str">
        <x:v>TC-M2-013</x:v>
      </x:c>
      <x:c r="B14" s="42" t="str">
        <x:v>char_count（CJK）</x:v>
      </x:c>
      <x:c r="C14" s="42" t="str">
        <x:v>中文文本按字符数正常统计（与 TC-M2-011 对照）</x:v>
      </x:c>
      <x:c r="D14" s="42" t="str">
        <x:v>中</x:v>
      </x:c>
      <x:c r="E14" s="42" t="str">
        <x:v>是</x:v>
      </x:c>
      <x:c r="F14" s="42" t="str">
        <x:v>是</x:v>
      </x:c>
      <x:c r="G14" s="42" t="str">
        <x:v>环境：Python 3.11.4 + textstat 0.7.7（assignment 分支，含模块一缺陷修复）+ cmudict/pyphen；命令：.venv\Scripts\python -m pytest assignment/module2/tests/count -v。</x:v>
      </x:c>
      <x:c r="H14" s="42" t="str">
        <x:v>今天天气很好，我们去公园散步。</x:v>
      </x:c>
      <x:c r="I14" s="42" t="str">
        <x:v>调用 char_count，记录返回值。</x:v>
      </x:c>
      <x:c r="J14" s="42" t="str">
        <x:v>15（中文按字符计数是正确的，用于对照字母数统计的错误）</x:v>
      </x:c>
      <x:c r="K14" s="42" t="str">
        <x:v>15</x:v>
      </x:c>
      <x:c r="L14" s="42" t="str">
        <x:v>OK</x:v>
      </x:c>
      <x:c r="M14" s="42" t="str">
        <x:v>【成员A】对照用例：说明问题出在“字母”定义而非字符数</x:v>
      </x:c>
      <x:c r="N14" s="43"/>
    </x:row>
    <x:row r="15" ht="92" customHeight="1">
      <x:c r="A15" s="42" t="str">
        <x:v>TC-M2-014</x:v>
      </x:c>
      <x:c r="B15" s="42" t="str">
        <x:v>letter_count / lexicon_count（emoji 不污染）</x:v>
      </x:c>
      <x:c r="C15" s="42" t="str">
        <x:v>emoji 不应被计入字母数与词数</x:v>
      </x:c>
      <x:c r="D15" s="42" t="str">
        <x:v>中</x:v>
      </x:c>
      <x:c r="E15" s="42" t="str">
        <x:v>是</x:v>
      </x:c>
      <x:c r="F15" s="42" t="str">
        <x:v>是</x:v>
      </x:c>
      <x:c r="G15" s="42" t="str">
        <x:v>环境：Python 3.11.4 + textstat 0.7.7（assignment 分支，含模块一缺陷修复）+ cmudict/pyphen；命令：.venv\Scripts\python -m pytest assignment/module2/tests/count -v。</x:v>
      </x:c>
      <x:c r="H15" s="42" t="str">
        <x:v>emoji 😀 text</x:v>
      </x:c>
      <x:c r="I15" s="42" t="str">
        <x:v>分别调用 letter_count 与 lexicon_count，记录返回值。</x:v>
      </x:c>
      <x:c r="J15" s="42" t="str">
        <x:v>字母数 9（emoji 不算字母）、词数 2（emoji 不算词）</x:v>
      </x:c>
      <x:c r="K15" s="42" t="str">
        <x:v>9 / 2</x:v>
      </x:c>
      <x:c r="L15" s="42" t="str">
        <x:v>OK</x:v>
      </x:c>
      <x:c r="M15" s="42" t="str">
        <x:v>【成员A】等价类：emoji 与英文混排（与 TC-M2-012 区分：考察是否污染计数）</x:v>
      </x:c>
      <x:c r="N15" s="43"/>
    </x:row>
    <x:row r="16" ht="92" customHeight="1">
      <x:c r="A16" s="42" t="str">
        <x:v>TC-M2-015</x:v>
      </x:c>
      <x:c r="B16" s="42" t="str">
        <x:v>sentence_count（全角标点）</x:v>
      </x:c>
      <x:c r="C16" s="42" t="str">
        <x:v>全角句末标点（！？。）应被识别为句子边界</x:v>
      </x:c>
      <x:c r="D16" s="42" t="str">
        <x:v>高</x:v>
      </x:c>
      <x:c r="E16" s="42" t="str">
        <x:v>是</x:v>
      </x:c>
      <x:c r="F16" s="42" t="str">
        <x:v>是</x:v>
      </x:c>
      <x:c r="G16" s="42" t="str">
        <x:v>环境：Python 3.11.4 + textstat 0.7.7（assignment 分支，含模块一缺陷修复）+ cmudict/pyphen；命令：.venv\Scripts\python -m pytest assignment/module2/tests/count -v。</x:v>
      </x:c>
      <x:c r="H16" s="42" t="str">
        <x:v>Hello！How are you？</x:v>
      </x:c>
      <x:c r="I16" s="42" t="str">
        <x:v>调用 sentence_count，记录返回值。</x:v>
      </x:c>
      <x:c r="J16" s="42" t="str">
        <x:v>2（全角感叹号与问号都是句末标点）</x:v>
      </x:c>
      <x:c r="K16" s="42" t="str">
        <x:v>1</x:v>
      </x:c>
      <x:c r="L16" s="42" t="str">
        <x:v>NG</x:v>
      </x:c>
      <x:c r="M16" s="42" t="str">
        <x:v>【成员A】等价类：全角标点；缺陷 M2-D2（只识别半角 .!?）</x:v>
      </x:c>
      <x:c r="N16" s="43"/>
    </x:row>
    <x:row r="17" ht="92" customHeight="1">
      <x:c r="A17" s="42" t="str">
        <x:v>TC-M2-016</x:v>
      </x:c>
      <x:c r="B17" s="42" t="str">
        <x:v>sentence_count（省略号）</x:v>
      </x:c>
      <x:c r="C17" s="42" t="str">
        <x:v>省略号 + 问叹号混排的断句行为</x:v>
      </x:c>
      <x:c r="D17" s="42" t="str">
        <x:v>中</x:v>
      </x:c>
      <x:c r="E17" s="42" t="str">
        <x:v>是</x:v>
      </x:c>
      <x:c r="F17" s="42" t="str">
        <x:v>是</x:v>
      </x:c>
      <x:c r="G17" s="42" t="str">
        <x:v>环境：Python 3.11.4 + textstat 0.7.7（assignment 分支，含模块一缺陷修复）+ cmudict/pyphen；命令：.venv\Scripts\python -m pytest assignment/module2/tests/count -v。</x:v>
      </x:c>
      <x:c r="H17" s="42" t="str">
        <x:v>Wait... What?! Really.</x:v>
      </x:c>
      <x:c r="I17" s="42" t="str">
        <x:v>调用 sentence_count，记录返回值。</x:v>
      </x:c>
      <x:c r="J17" s="42" t="str">
        <x:v>2（当前实现把省略号视为停顿不计句；What?! 与 Really. 各计一句）</x:v>
      </x:c>
      <x:c r="K17" s="42" t="str">
        <x:v>2</x:v>
      </x:c>
      <x:c r="L17" s="42" t="str">
        <x:v>OK</x:v>
      </x:c>
      <x:c r="M17" s="42" t="str">
        <x:v>【成员A】记录行为约定，避免误判为缺陷</x:v>
      </x:c>
      <x:c r="N17" s="43"/>
    </x:row>
    <x:row r="18" ht="92" customHeight="1">
      <x:c r="A18" s="42" t="str">
        <x:v>TC-M2-017</x:v>
      </x:c>
      <x:c r="B18" s="42" t="str">
        <x:v>lexicon_count（数字与单位）</x:v>
      </x:c>
      <x:c r="C18" s="42" t="str">
        <x:v>数字、单位与版本号混排时的词数</x:v>
      </x:c>
      <x:c r="D18" s="42" t="str">
        <x:v>中</x:v>
      </x:c>
      <x:c r="E18" s="42" t="str">
        <x:v>是</x:v>
      </x:c>
      <x:c r="F18" s="42" t="str">
        <x:v>是</x:v>
      </x:c>
      <x:c r="G18" s="42" t="str">
        <x:v>环境：Python 3.11.4 + textstat 0.7.7（assignment 分支，含模块一缺陷修复）+ cmudict/pyphen；命令：.venv\Scripts\python -m pytest assignment/module2/tests/count -v。</x:v>
      </x:c>
      <x:c r="H18" s="42" t="str">
        <x:v>1,000 USD, 3.5 kg, v1.2.3</x:v>
      </x:c>
      <x:c r="I18" s="42" t="str">
        <x:v>调用 lexicon_count，记录返回值。</x:v>
      </x:c>
      <x:c r="J18" s="42" t="str">
        <x:v>5（1,000 / USD / 3.5 / kg / v1.2.3）</x:v>
      </x:c>
      <x:c r="K18" s="42" t="str">
        <x:v>5</x:v>
      </x:c>
      <x:c r="L18" s="42" t="str">
        <x:v>OK</x:v>
      </x:c>
      <x:c r="M18" s="42" t="str">
        <x:v>【成员A】性质测试：标点不作为词分隔符</x:v>
      </x:c>
      <x:c r="N18" s="43"/>
    </x:row>
    <x:row r="19" ht="92" customHeight="1">
      <x:c r="A19" s="42" t="str">
        <x:v>TC-M2-018</x:v>
      </x:c>
      <x:c r="B19" s="42" t="str">
        <x:v>lexicon_count（不变量）</x:v>
      </x:c>
      <x:c r="C19" s="42" t="str">
        <x:v>性质测试：追加句号不改变词数</x:v>
      </x:c>
      <x:c r="D19" s="42" t="str">
        <x:v>中</x:v>
      </x:c>
      <x:c r="E19" s="42" t="str">
        <x:v>是</x:v>
      </x:c>
      <x:c r="F19" s="42" t="str">
        <x:v>是</x:v>
      </x:c>
      <x:c r="G19" s="42" t="str">
        <x:v>环境：Python 3.11.4 + textstat 0.7.7（assignment 分支，含模块一缺陷修复）+ cmudict/pyphen；命令：.venv\Scripts\python -m pytest assignment/module2/tests/count -v。</x:v>
      </x:c>
      <x:c r="H19" s="42" t="str">
        <x:v>"The quick brown fox jumps over the lazy dog" 及其加句号版本</x:v>
      </x:c>
      <x:c r="I19" s="42" t="str">
        <x:v>比较两次 lexicon_count。</x:v>
      </x:c>
      <x:c r="J19" s="42" t="str">
        <x:v>两者相等（均为 9）</x:v>
      </x:c>
      <x:c r="K19" s="42" t="str">
        <x:v>9 / 9</x:v>
      </x:c>
      <x:c r="L19" s="42" t="str">
        <x:v>OK</x:v>
      </x:c>
      <x:c r="M19" s="42" t="str">
        <x:v>【成员A】不变量测试</x:v>
      </x:c>
      <x:c r="N19" s="43"/>
    </x:row>
    <x:row r="20" ht="92" customHeight="1">
      <x:c r="A20" s="42" t="str">
        <x:v>TC-M2-019</x:v>
      </x:c>
      <x:c r="B20" s="42" t="str">
        <x:v>lexicon_count（不变量）</x:v>
      </x:c>
      <x:c r="C20" s="42" t="str">
        <x:v>性质测试：文本拆成两段（换行）词数不变</x:v>
      </x:c>
      <x:c r="D20" s="42" t="str">
        <x:v>中</x:v>
      </x:c>
      <x:c r="E20" s="42" t="str">
        <x:v>是</x:v>
      </x:c>
      <x:c r="F20" s="42" t="str">
        <x:v>是</x:v>
      </x:c>
      <x:c r="G20" s="42" t="str">
        <x:v>环境：Python 3.11.4 + textstat 0.7.7（assignment 分支，含模块一缺陷修复）+ cmudict/pyphen；命令：.venv\Scripts\python -m pytest assignment/module2/tests/count -v。</x:v>
      </x:c>
      <x:c r="H20" s="42" t="str">
        <x:v>"The quick brown fox." 与 "Jumps over the lazy dog."（中间换行）</x:v>
      </x:c>
      <x:c r="I20" s="42" t="str">
        <x:v>比较拆段前后的 lexicon_count。</x:v>
      </x:c>
      <x:c r="J20" s="42" t="str">
        <x:v>拆段前后一致（均为 9）</x:v>
      </x:c>
      <x:c r="K20" s="42" t="str">
        <x:v>9 / 9</x:v>
      </x:c>
      <x:c r="L20" s="42" t="str">
        <x:v>OK</x:v>
      </x:c>
      <x:c r="M20" s="42" t="str">
        <x:v>【成员A】不变量测试</x:v>
      </x:c>
      <x:c r="N20" s="43"/>
    </x:row>
    <x:row r="21" ht="92" customHeight="1">
      <x:c r="A21" s="42" t="str">
        <x:v>TC-M2-020</x:v>
      </x:c>
      <x:c r="B21" s="42" t="str">
        <x:v>letter_count / syllable_count（不变量）</x:v>
      </x:c>
      <x:c r="C21" s="42" t="str">
        <x:v>性质测试：大小写不改变字母数与音节数</x:v>
      </x:c>
      <x:c r="D21" s="42" t="str">
        <x:v>中</x:v>
      </x:c>
      <x:c r="E21" s="42" t="str">
        <x:v>是</x:v>
      </x:c>
      <x:c r="F21" s="42" t="str">
        <x:v>是</x:v>
      </x:c>
      <x:c r="G21" s="42" t="str">
        <x:v>环境：Python 3.11.4 + textstat 0.7.7（assignment 分支，含模块一缺陷修复）+ cmudict/pyphen；命令：.venv\Scripts\python -m pytest assignment/module2/tests/count -v。</x:v>
      </x:c>
      <x:c r="H21" s="42" t="str">
        <x:v>"Hello World" 与 "hello world"</x:v>
      </x:c>
      <x:c r="I21" s="42" t="str">
        <x:v>分别统计两种大小写形式的字母数与音节数。</x:v>
      </x:c>
      <x:c r="J21" s="42" t="str">
        <x:v>字母数均 10、音节数均 3</x:v>
      </x:c>
      <x:c r="K21" s="42" t="str">
        <x:v>10 / 3 与 10 / 3</x:v>
      </x:c>
      <x:c r="L21" s="42" t="str">
        <x:v>OK</x:v>
      </x:c>
      <x:c r="M21" s="42" t="str">
        <x:v>【成员A】不变量测试（大小写不敏感）</x:v>
      </x:c>
      <x:c r="N21" s="43"/>
    </x:row>
    <x:row r="22" ht="92" customHeight="1">
      <x:c r="A22" s="42" t="str">
        <x:v>TC-M2-021</x:v>
      </x:c>
      <x:c r="B22" s="42" t="str">
        <x:v>char_count（参数语义）</x:v>
      </x:c>
      <x:c r="C22" s="42" t="str">
        <x:v>性质测试：含空格与不含空格的差值等于空白字符数</x:v>
      </x:c>
      <x:c r="D22" s="42" t="str">
        <x:v>中</x:v>
      </x:c>
      <x:c r="E22" s="42" t="str">
        <x:v>是</x:v>
      </x:c>
      <x:c r="F22" s="42" t="str">
        <x:v>是</x:v>
      </x:c>
      <x:c r="G22" s="42" t="str">
        <x:v>环境：Python 3.11.4 + textstat 0.7.7（assignment 分支，含模块一缺陷修复）+ cmudict/pyphen；命令：.venv\Scripts\python -m pytest assignment/module2/tests/count -v。</x:v>
      </x:c>
      <x:c r="H22" s="42" t="str">
        <x:v>"   a   b   "（11 个字符，其中 9 个空格）</x:v>
      </x:c>
      <x:c r="I22" s="42" t="str">
        <x:v>计算 char_count(False) − char_count(True)。</x:v>
      </x:c>
      <x:c r="J22" s="42" t="str">
        <x:v>差值 9；ignore_spaces=True 时结果为 2</x:v>
      </x:c>
      <x:c r="K22" s="42" t="str">
        <x:v>11 − 2 = 9</x:v>
      </x:c>
      <x:c r="L22" s="42" t="str">
        <x:v>OK</x:v>
      </x:c>
      <x:c r="M22" s="42" t="str">
        <x:v>【成员A】不变量测试（参数语义一致）</x:v>
      </x:c>
      <x:c r="N22" s="43"/>
    </x:row>
    <x:row r="23" ht="92" customHeight="1">
      <x:c r="A23" s="42" t="str">
        <x:v>TC-M2-022</x:v>
      </x:c>
      <x:c r="B23" s="42" t="str">
        <x:v>全部计数函数（长文档）</x:v>
      </x:c>
      <x:c r="C23" s="42" t="str">
        <x:v>长文档统计完整且可重复（幂等）</x:v>
      </x:c>
      <x:c r="D23" s="42" t="str">
        <x:v>高</x:v>
      </x:c>
      <x:c r="E23" s="42" t="str">
        <x:v>是</x:v>
      </x:c>
      <x:c r="F23" s="42" t="str">
        <x:v>是</x:v>
      </x:c>
      <x:c r="G23" s="42" t="str">
        <x:v>环境：Python 3.11.4 + textstat 0.7.7（assignment 分支，含模块一缺陷修复）+ cmudict/pyphen；命令：.venv\Scripts\python -m pytest assignment/module2/tests/count -v。</x:v>
      </x:c>
      <x:c r="H23" s="42" t="str">
        <x:v>60 遍 "The quick brown fox jumps over the lazy dog. " + 一个 26 词长难句（共 562 词）</x:v>
      </x:c>
      <x:c r="I23" s="42" t="str">
        <x:v>调用 lexicon_count、sentence_count、syllable_count，并连续调用两次比较。</x:v>
      </x:c>
      <x:c r="J23" s="42" t="str">
        <x:v>词数 562、句数 61（60 个短句 + 1 个长难句）、音节数 700；两次调用结果一致</x:v>
      </x:c>
      <x:c r="K23" s="42" t="str">
        <x:v>562 / 62 / 700（句数多计 1）</x:v>
      </x:c>
      <x:c r="L23" s="42" t="str">
        <x:v>NG</x:v>
      </x:c>
      <x:c r="M23" s="42" t="str">
        <x:v>【成员A】性质测试：大数据量与幂等性；缺陷 M2-D5（长难句中的 Dr. 导致句数多计）</x:v>
      </x:c>
      <x:c r="N23" s="43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3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60</x:v>
      </x:c>
      <x:c r="B1" s="45"/>
      <x:c r="C1" s="2"/>
    </x:row>
    <x:row r="2" ht="28.799999237060547">
      <x:c r="A2" s="46">
        <x:v>1</x:v>
      </x:c>
      <x:c r="B2" s="47" t="s">
        <x:v>61</x:v>
      </x:c>
      <x:c r="C2" s="2"/>
    </x:row>
    <x:row r="3">
      <x:c r="A3" s="46">
        <x:v>2</x:v>
      </x:c>
      <x:c r="B3" s="47" t="s">
        <x:v>62</x:v>
      </x:c>
      <x:c r="C3" s="2"/>
    </x:row>
    <x:row r="4" ht="42.599998474121094">
      <x:c r="A4" s="46">
        <x:v>3</x:v>
      </x:c>
      <x:c r="B4" s="47" t="s">
        <x:v>63</x:v>
      </x:c>
      <x:c r="C4" s="2"/>
    </x:row>
    <x:row r="5" ht="28.799999237060547">
      <x:c r="A5" s="46">
        <x:v>4</x:v>
      </x:c>
      <x:c r="B5" s="47" t="s">
        <x:v>64</x:v>
      </x:c>
      <x:c r="C5" s="2"/>
    </x:row>
    <x:row r="6" ht="33" customHeight="1">
      <x:c r="A6" s="46">
        <x:v>5</x:v>
      </x:c>
      <x:c r="B6" s="47" t="s">
        <x:v>65</x:v>
      </x:c>
      <x:c r="C6" s="2"/>
    </x:row>
    <x:row r="7" ht="42.599998474121094">
      <x:c r="A7" s="46">
        <x:v>6</x:v>
      </x:c>
      <x:c r="B7" s="47" t="s">
        <x:v>66</x:v>
      </x:c>
      <x:c r="C7" s="2"/>
    </x:row>
    <x:row r="8">
      <x:c r="A8" s="46">
        <x:v>7</x:v>
      </x:c>
      <x:c r="B8" s="47" t="s">
        <x:v>67</x:v>
      </x:c>
      <x:c r="C8" s="2"/>
    </x:row>
    <x:row r="9">
      <x:c r="A9" s="48">
        <x:v>8</x:v>
      </x:c>
      <x:c r="B9" s="49" t="s">
        <x:v>68</x:v>
      </x:c>
      <x:c r="C9" s="2"/>
    </x:row>
    <x:row r="10" ht="73.5" customHeight="1">
      <x:c r="A10" s="48">
        <x:v>9</x:v>
      </x:c>
      <x:c r="B10" s="49" t="s">
        <x:v>69</x:v>
      </x:c>
    </x:row>
  </x:sheetData>
  <x:pageMargins left="0.7" right="0.7" top="0.75" bottom="0.75" header="0.3" footer="0.3"/>
</x:worksheet>
</file>